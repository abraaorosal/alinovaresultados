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e1506e4ce9cd29d/1.ALINOVA GESTÃO/4.CLIENTES/CLIENTES ASSESSORIA/ATIVOS/DONANA GOUMERT/CONTROLE DE DESPERDÍCIOS/"/>
    </mc:Choice>
  </mc:AlternateContent>
  <xr:revisionPtr revIDLastSave="443" documentId="14_{DBFB62AC-E8B6-6645-952C-32C4CDEC473D}" xr6:coauthVersionLast="47" xr6:coauthVersionMax="47" xr10:uidLastSave="{A16B5883-F200-DF4B-BD2A-82F7429C8699}"/>
  <bookViews>
    <workbookView xWindow="3920" yWindow="500" windowWidth="24880" windowHeight="16140" xr2:uid="{0C2EDEDE-1DCD-1A4F-B5DE-01198A05DF5E}"/>
  </bookViews>
  <sheets>
    <sheet name="CADASTRO PRODUTOS" sheetId="1" r:id="rId1"/>
    <sheet name="DESPERDÍCIO SETEMBRO" sheetId="2" r:id="rId2"/>
    <sheet name="DESPERDÍCIO OUTUBR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9" i="3" l="1"/>
  <c r="E57" i="3"/>
  <c r="G57" i="3" s="1"/>
  <c r="D7" i="3" s="1"/>
  <c r="H57" i="3"/>
  <c r="E56" i="3"/>
  <c r="G56" i="3" s="1"/>
  <c r="H56" i="3"/>
  <c r="E55" i="3"/>
  <c r="G55" i="3" s="1"/>
  <c r="H55" i="3"/>
  <c r="E54" i="3"/>
  <c r="G54" i="3" s="1"/>
  <c r="H54" i="3"/>
  <c r="E53" i="3"/>
  <c r="G53" i="3" s="1"/>
  <c r="H53" i="3"/>
  <c r="E52" i="3"/>
  <c r="G52" i="3" s="1"/>
  <c r="H52" i="3"/>
  <c r="E51" i="3"/>
  <c r="G51" i="3" s="1"/>
  <c r="H51" i="3"/>
  <c r="E50" i="3"/>
  <c r="G50" i="3" s="1"/>
  <c r="H50" i="3"/>
  <c r="E49" i="3"/>
  <c r="G49" i="3" s="1"/>
  <c r="H49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E48" i="3"/>
  <c r="G48" i="3" s="1"/>
  <c r="E47" i="3"/>
  <c r="G47" i="3" s="1"/>
  <c r="E46" i="3"/>
  <c r="G46" i="3" s="1"/>
  <c r="E45" i="3"/>
  <c r="G45" i="3" s="1"/>
  <c r="E44" i="3"/>
  <c r="G44" i="3" s="1"/>
  <c r="E43" i="3"/>
  <c r="G43" i="3" s="1"/>
  <c r="E42" i="3"/>
  <c r="G42" i="3" s="1"/>
  <c r="E41" i="3"/>
  <c r="G41" i="3" s="1"/>
  <c r="E40" i="3"/>
  <c r="G40" i="3" s="1"/>
  <c r="E39" i="3"/>
  <c r="G39" i="3" s="1"/>
  <c r="E38" i="3"/>
  <c r="G38" i="3" s="1"/>
  <c r="E37" i="3"/>
  <c r="G37" i="3" s="1"/>
  <c r="E36" i="3"/>
  <c r="G36" i="3" s="1"/>
  <c r="E35" i="3"/>
  <c r="G35" i="3" s="1"/>
  <c r="E34" i="3"/>
  <c r="G34" i="3" s="1"/>
  <c r="E33" i="3"/>
  <c r="G33" i="3" s="1"/>
  <c r="E32" i="3"/>
  <c r="G32" i="3" s="1"/>
  <c r="E31" i="3"/>
  <c r="G31" i="3" s="1"/>
  <c r="E30" i="3"/>
  <c r="G30" i="3" s="1"/>
  <c r="E29" i="3"/>
  <c r="G29" i="3" s="1"/>
  <c r="E28" i="3"/>
  <c r="G28" i="3" s="1"/>
  <c r="E27" i="3"/>
  <c r="G27" i="3" s="1"/>
  <c r="E26" i="3"/>
  <c r="G26" i="3" s="1"/>
  <c r="E25" i="3"/>
  <c r="G25" i="3" s="1"/>
  <c r="E24" i="3"/>
  <c r="G24" i="3" s="1"/>
  <c r="E23" i="3"/>
  <c r="G23" i="3" s="1"/>
  <c r="E22" i="3"/>
  <c r="G22" i="3" s="1"/>
  <c r="E21" i="3"/>
  <c r="G21" i="3" s="1"/>
  <c r="E20" i="3"/>
  <c r="G20" i="3" s="1"/>
  <c r="E19" i="3"/>
  <c r="G19" i="3" s="1"/>
  <c r="E18" i="3"/>
  <c r="G18" i="3" s="1"/>
  <c r="E17" i="3"/>
  <c r="G17" i="3" s="1"/>
  <c r="E16" i="3"/>
  <c r="G16" i="3" s="1"/>
  <c r="E15" i="3"/>
  <c r="G15" i="3" s="1"/>
  <c r="E14" i="3"/>
  <c r="G14" i="3" s="1"/>
  <c r="E13" i="3"/>
  <c r="G13" i="3" s="1"/>
  <c r="E12" i="3"/>
  <c r="G12" i="3" s="1"/>
  <c r="E11" i="3"/>
  <c r="G11" i="3" s="1"/>
  <c r="G5" i="3"/>
  <c r="G5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7" i="3" l="1"/>
  <c r="H8" i="3" s="1"/>
  <c r="D8" i="3"/>
  <c r="H7" i="2"/>
  <c r="H8" i="2" s="1"/>
  <c r="E48" i="2" l="1"/>
  <c r="G48" i="2" s="1"/>
  <c r="E47" i="2"/>
  <c r="G47" i="2" s="1"/>
  <c r="E46" i="2"/>
  <c r="G46" i="2" s="1"/>
  <c r="E45" i="2"/>
  <c r="G45" i="2" s="1"/>
  <c r="E44" i="2"/>
  <c r="G44" i="2" s="1"/>
  <c r="E43" i="2"/>
  <c r="G43" i="2" s="1"/>
  <c r="E42" i="2"/>
  <c r="G42" i="2" s="1"/>
  <c r="E41" i="2"/>
  <c r="G41" i="2" s="1"/>
  <c r="E40" i="2"/>
  <c r="G40" i="2" s="1"/>
  <c r="E39" i="2" l="1"/>
  <c r="G39" i="2" s="1"/>
  <c r="E38" i="2"/>
  <c r="G38" i="2" s="1"/>
  <c r="E37" i="2"/>
  <c r="G37" i="2" s="1"/>
  <c r="E36" i="2"/>
  <c r="G36" i="2" s="1"/>
  <c r="E35" i="2"/>
  <c r="G35" i="2" s="1"/>
  <c r="E34" i="2"/>
  <c r="G34" i="2" s="1"/>
  <c r="E33" i="2"/>
  <c r="G33" i="2" s="1"/>
  <c r="E32" i="2"/>
  <c r="G32" i="2" s="1"/>
  <c r="E12" i="2"/>
  <c r="G12" i="2" s="1"/>
  <c r="E13" i="2"/>
  <c r="G13" i="2" s="1"/>
  <c r="E14" i="2"/>
  <c r="G14" i="2" s="1"/>
  <c r="E15" i="2"/>
  <c r="G15" i="2" s="1"/>
  <c r="E16" i="2"/>
  <c r="G16" i="2" s="1"/>
  <c r="E17" i="2"/>
  <c r="G17" i="2" s="1"/>
  <c r="E18" i="2"/>
  <c r="G18" i="2" s="1"/>
  <c r="E19" i="2"/>
  <c r="G19" i="2" s="1"/>
  <c r="E20" i="2"/>
  <c r="G20" i="2" s="1"/>
  <c r="E21" i="2"/>
  <c r="G21" i="2" s="1"/>
  <c r="E22" i="2"/>
  <c r="G22" i="2" s="1"/>
  <c r="E23" i="2"/>
  <c r="G23" i="2" s="1"/>
  <c r="E24" i="2"/>
  <c r="G24" i="2" s="1"/>
  <c r="E25" i="2"/>
  <c r="G25" i="2" s="1"/>
  <c r="E26" i="2"/>
  <c r="G26" i="2" s="1"/>
  <c r="E27" i="2"/>
  <c r="G27" i="2" s="1"/>
  <c r="E28" i="2"/>
  <c r="G28" i="2" s="1"/>
  <c r="E29" i="2"/>
  <c r="G29" i="2" s="1"/>
  <c r="E30" i="2"/>
  <c r="G30" i="2" s="1"/>
  <c r="E31" i="2"/>
  <c r="G31" i="2" s="1"/>
  <c r="E11" i="2"/>
  <c r="G11" i="2" s="1"/>
  <c r="D7" i="2" l="1"/>
  <c r="D8" i="2" s="1"/>
</calcChain>
</file>

<file path=xl/sharedStrings.xml><?xml version="1.0" encoding="utf-8"?>
<sst xmlns="http://schemas.openxmlformats.org/spreadsheetml/2006/main" count="315" uniqueCount="45">
  <si>
    <t>PRODUTO</t>
  </si>
  <si>
    <t>PREÇO KG</t>
  </si>
  <si>
    <t>Macarrão espaguete cozido</t>
  </si>
  <si>
    <t>CUSTO DESPERDÍCIO</t>
  </si>
  <si>
    <t>MOTIVO DO DESPERDÍCIO</t>
  </si>
  <si>
    <t>CUSTO KG</t>
  </si>
  <si>
    <t>PESO DESPERDÍCIO (Kg)</t>
  </si>
  <si>
    <t>Arroz cozido</t>
  </si>
  <si>
    <t>DATA</t>
  </si>
  <si>
    <t>CUSTO DE DESPERDÍCIO:</t>
  </si>
  <si>
    <t>Base quentinha</t>
  </si>
  <si>
    <t>Estragado</t>
  </si>
  <si>
    <t>CONTROLE DE DESPERDÍCIO</t>
  </si>
  <si>
    <t>CLIENTE:</t>
  </si>
  <si>
    <t>DONANA GOUMERT</t>
  </si>
  <si>
    <t>MÊS:</t>
  </si>
  <si>
    <t>Sobras clientes</t>
  </si>
  <si>
    <t>Sopa carne com legumes</t>
  </si>
  <si>
    <t>Salada de maionese</t>
  </si>
  <si>
    <t>Feijoada</t>
  </si>
  <si>
    <t>Fígado bovino</t>
  </si>
  <si>
    <t>Creme de frango</t>
  </si>
  <si>
    <t>Baião</t>
  </si>
  <si>
    <t>Batata frita</t>
  </si>
  <si>
    <t>Couve</t>
  </si>
  <si>
    <t>Salada crua</t>
  </si>
  <si>
    <t>Vatapá</t>
  </si>
  <si>
    <t>Feijão carioca</t>
  </si>
  <si>
    <t>% DESPERDÍCIO</t>
  </si>
  <si>
    <t>CMV ATUAL:</t>
  </si>
  <si>
    <t>FATURAMENTO MÉDIO</t>
  </si>
  <si>
    <t>Sobras</t>
  </si>
  <si>
    <t>Sem aproveitamento</t>
  </si>
  <si>
    <t>Consumê de carne</t>
  </si>
  <si>
    <t>Venda desperdiçada</t>
  </si>
  <si>
    <t>%</t>
  </si>
  <si>
    <t>PREÇO DESPERDÍCIO</t>
  </si>
  <si>
    <t>CATEGORIA</t>
  </si>
  <si>
    <t>Sopas</t>
  </si>
  <si>
    <t>Self service</t>
  </si>
  <si>
    <t>Sopa de feijão</t>
  </si>
  <si>
    <t>Feijão tropeiro</t>
  </si>
  <si>
    <t>Peixe ao molho de camarão</t>
  </si>
  <si>
    <t>Strogonoff de carne</t>
  </si>
  <si>
    <t>Frango desfiado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</si>
</sst>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  <font>
      <sz val="12"/>
      <color theme="1"/>
      <name val="Aptos Narrow"/>
      <family val="2"/>
      <scheme val="minor"/>
    </font>
    <font>
      <sz val="12"/>
      <color theme="0" tint="-0.1499984740745262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164" fontId="0" fillId="2" borderId="1" xfId="0" applyNumberForma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1" fillId="4" borderId="2" xfId="0" applyFont="1" applyFill="1" applyBorder="1" applyAlignment="1">
      <alignment horizontal="center" vertical="center"/>
    </xf>
    <xf numFmtId="16" fontId="0" fillId="4" borderId="3" xfId="0" applyNumberFormat="1" applyFill="1" applyBorder="1" applyAlignment="1">
      <alignment horizontal="center"/>
    </xf>
    <xf numFmtId="0" fontId="0" fillId="4" borderId="3" xfId="0" applyFill="1" applyBorder="1"/>
    <xf numFmtId="0" fontId="0" fillId="4" borderId="3" xfId="0" applyFill="1" applyBorder="1" applyAlignment="1">
      <alignment horizontal="center"/>
    </xf>
    <xf numFmtId="164" fontId="0" fillId="3" borderId="5" xfId="0" applyNumberFormat="1" applyFill="1" applyBorder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right"/>
    </xf>
    <xf numFmtId="17" fontId="1" fillId="4" borderId="0" xfId="0" applyNumberFormat="1" applyFont="1" applyFill="1" applyAlignment="1">
      <alignment horizontal="center" vertical="center"/>
    </xf>
    <xf numFmtId="16" fontId="0" fillId="4" borderId="7" xfId="0" applyNumberFormat="1" applyFill="1" applyBorder="1" applyAlignment="1">
      <alignment horizontal="center"/>
    </xf>
    <xf numFmtId="0" fontId="0" fillId="4" borderId="7" xfId="0" applyFill="1" applyBorder="1"/>
    <xf numFmtId="164" fontId="0" fillId="3" borderId="8" xfId="0" applyNumberForma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16" fontId="0" fillId="4" borderId="11" xfId="0" applyNumberFormat="1" applyFill="1" applyBorder="1" applyAlignment="1">
      <alignment horizontal="center"/>
    </xf>
    <xf numFmtId="0" fontId="0" fillId="4" borderId="11" xfId="0" applyFill="1" applyBorder="1"/>
    <xf numFmtId="164" fontId="0" fillId="3" borderId="10" xfId="0" applyNumberFormat="1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164" fontId="0" fillId="4" borderId="2" xfId="0" applyNumberFormat="1" applyFill="1" applyBorder="1" applyAlignment="1">
      <alignment horizontal="center" vertical="center"/>
    </xf>
    <xf numFmtId="10" fontId="0" fillId="4" borderId="2" xfId="1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9" fontId="0" fillId="4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164" fontId="4" fillId="2" borderId="0" xfId="0" applyNumberFormat="1" applyFont="1" applyFill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164" fontId="0" fillId="3" borderId="3" xfId="0" applyNumberFormat="1" applyFill="1" applyBorder="1" applyAlignment="1">
      <alignment horizontal="center" vertical="center"/>
    </xf>
    <xf numFmtId="164" fontId="1" fillId="4" borderId="2" xfId="0" applyNumberFormat="1" applyFont="1" applyFill="1" applyBorder="1" applyAlignment="1">
      <alignment horizontal="center" vertical="center"/>
    </xf>
    <xf numFmtId="164" fontId="6" fillId="2" borderId="0" xfId="0" applyNumberFormat="1" applyFont="1" applyFill="1" applyAlignment="1">
      <alignment horizontal="center" vertical="center"/>
    </xf>
    <xf numFmtId="10" fontId="1" fillId="4" borderId="2" xfId="1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64" fontId="0" fillId="3" borderId="11" xfId="0" applyNumberForma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22"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numFmt numFmtId="164" formatCode="&quot;R$&quot;\ #,##0.00"/>
      <fill>
        <patternFill patternType="solid">
          <fgColor indexed="64"/>
          <bgColor theme="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numFmt numFmtId="164" formatCode="&quot;R$&quot;\ #,##0.00"/>
      <fill>
        <patternFill patternType="solid">
          <fgColor indexed="64"/>
          <bgColor theme="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numFmt numFmtId="164" formatCode="&quot;R$&quot;\ #,##0.00"/>
      <fill>
        <patternFill patternType="solid">
          <fgColor indexed="64"/>
          <bgColor theme="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 style="thin">
          <color theme="1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numFmt numFmtId="21" formatCode="dd/mm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 outline="0">
        <top style="thin">
          <color rgb="FFFFFFFF"/>
        </top>
      </border>
    </dxf>
    <dxf>
      <border outline="0">
        <bottom style="thin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numFmt numFmtId="164" formatCode="&quot;R$&quot;\ #,##0.00"/>
      <fill>
        <patternFill patternType="solid">
          <fgColor indexed="64"/>
          <bgColor theme="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numFmt numFmtId="164" formatCode="&quot;R$&quot;\ #,##0.00"/>
      <fill>
        <patternFill patternType="solid">
          <fgColor indexed="64"/>
          <bgColor theme="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numFmt numFmtId="164" formatCode="&quot;R$&quot;\ #,##0.00"/>
      <fill>
        <patternFill patternType="solid">
          <fgColor indexed="64"/>
          <bgColor theme="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 style="thin">
          <color theme="1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numFmt numFmtId="21" formatCode="dd/mm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 outline="0">
        <top style="thin">
          <color theme="0"/>
        </top>
      </border>
    </dxf>
    <dxf>
      <border outline="0"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449540</xdr:colOff>
      <xdr:row>1</xdr:row>
      <xdr:rowOff>26207</xdr:rowOff>
    </xdr:from>
    <xdr:to>
      <xdr:col>8</xdr:col>
      <xdr:colOff>1628825</xdr:colOff>
      <xdr:row>5</xdr:row>
      <xdr:rowOff>53474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493556D-D007-1473-4FCF-606FA4ED7F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06" t="23691" r="17714" b="28927"/>
        <a:stretch>
          <a:fillRect/>
        </a:stretch>
      </xdr:blipFill>
      <xdr:spPr>
        <a:xfrm>
          <a:off x="8676318" y="421318"/>
          <a:ext cx="1179285" cy="8174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449540</xdr:colOff>
      <xdr:row>1</xdr:row>
      <xdr:rowOff>26207</xdr:rowOff>
    </xdr:from>
    <xdr:to>
      <xdr:col>8</xdr:col>
      <xdr:colOff>1628825</xdr:colOff>
      <xdr:row>5</xdr:row>
      <xdr:rowOff>53474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AA2B9AF-CE6C-D94B-BAE2-55102CE5E0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06" t="23691" r="17714" b="28927"/>
        <a:stretch>
          <a:fillRect/>
        </a:stretch>
      </xdr:blipFill>
      <xdr:spPr>
        <a:xfrm>
          <a:off x="12946340" y="419907"/>
          <a:ext cx="1179285" cy="84006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EF493A-F18A-2148-A8D1-5111C2E57A76}" name="Tabela2" displayName="Tabela2" ref="B10:I48" totalsRowShown="0" headerRowDxfId="21" headerRowBorderDxfId="20" tableBorderDxfId="19">
  <autoFilter ref="B10:I48" xr:uid="{6FEF493A-F18A-2148-A8D1-5111C2E57A76}"/>
  <tableColumns count="8">
    <tableColumn id="1" xr3:uid="{DDB11275-CC60-EA4D-ADFB-3F6C75A63819}" name="DATA" dataDxfId="18"/>
    <tableColumn id="2" xr3:uid="{645DB78A-0043-F343-A053-B1F7670979FF}" name="PRODUTO" dataDxfId="17"/>
    <tableColumn id="8" xr3:uid="{667F733C-5E57-1C46-AE82-8D3E437D89B8}" name="CATEGORIA" dataDxfId="16"/>
    <tableColumn id="3" xr3:uid="{A36591AB-BBD0-0E40-8135-1B73F35E9B19}" name="CUSTO KG" dataDxfId="15">
      <calculatedColumnFormula>IFERROR(VLOOKUP(C11,'CADASTRO PRODUTOS'!A:B,2,0),"")</calculatedColumnFormula>
    </tableColumn>
    <tableColumn id="4" xr3:uid="{BE92760A-5C92-3B43-81A7-3E4D2F714B96}" name="PESO DESPERDÍCIO (Kg)" dataDxfId="14"/>
    <tableColumn id="5" xr3:uid="{9195AD73-C24C-0C4A-9CB7-C54F7FAC8376}" name="CUSTO DESPERDÍCIO" dataDxfId="13">
      <calculatedColumnFormula>IFERROR(E11*F11,"")</calculatedColumnFormula>
    </tableColumn>
    <tableColumn id="7" xr3:uid="{67E0FD17-E613-6743-8C9D-C96FE08B6539}" name="PREÇO DESPERDÍCIO" dataDxfId="12">
      <calculatedColumnFormula>VLOOKUP(Tabela2[[#This Row],[PRODUTO]],'CADASTRO PRODUTOS'!A:C,3,0)*Tabela2[[#This Row],[PESO DESPERDÍCIO (Kg)]]</calculatedColumnFormula>
    </tableColumn>
    <tableColumn id="6" xr3:uid="{EDFCFA99-B98A-BF4B-AB64-DB9D9C577AC6}" name="MOTIVO DO DESPERDÍCIO" dataDxfId="1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B23136-2327-D846-9FAA-790181E3B474}" name="Tabela22" displayName="Tabela22" ref="B10:I57" totalsRowShown="0" headerRowDxfId="10" headerRowBorderDxfId="9" tableBorderDxfId="8">
  <autoFilter ref="B10:I57" xr:uid="{6FEF493A-F18A-2148-A8D1-5111C2E57A76}"/>
  <tableColumns count="8">
    <tableColumn id="1" xr3:uid="{9AF8A885-33F7-1441-A0EE-E2740C221D15}" name="DATA" dataDxfId="7"/>
    <tableColumn id="2" xr3:uid="{B11C984C-4151-0A45-9092-369CA06DCE56}" name="PRODUTO" dataDxfId="6"/>
    <tableColumn id="8" xr3:uid="{A2C48285-D56D-1C47-9DBB-FB804582AD5D}" name="CATEGORIA" dataDxfId="5"/>
    <tableColumn id="3" xr3:uid="{72731EDB-1D9D-ED47-AD41-BD3232FC07F9}" name="CUSTO KG" dataDxfId="4">
      <calculatedColumnFormula>IFERROR(VLOOKUP(C11,'CADASTRO PRODUTOS'!A:B,2,0),"")</calculatedColumnFormula>
    </tableColumn>
    <tableColumn id="4" xr3:uid="{20E9E04B-CC0A-B945-882A-00735F6E2DD5}" name="PESO DESPERDÍCIO (Kg)" dataDxfId="3"/>
    <tableColumn id="5" xr3:uid="{4E0371E5-C360-0E4C-9BBA-7A48EA74DDC4}" name="CUSTO DESPERDÍCIO" dataDxfId="2">
      <calculatedColumnFormula>IFERROR(E11*F11,"")</calculatedColumnFormula>
    </tableColumn>
    <tableColumn id="7" xr3:uid="{BB127B1C-81D3-CE48-BE69-64D6A7610AE7}" name="PREÇO DESPERDÍCIO" dataDxfId="1">
      <calculatedColumnFormula>IFERROR(VLOOKUP(Tabela22[[#This Row],[PRODUTO]],'CADASTRO PRODUTOS'!A:C,3,0)*Tabela22[[#This Row],[PESO DESPERDÍCIO (Kg)]],"")</calculatedColumnFormula>
    </tableColumn>
    <tableColumn id="6" xr3:uid="{A60631DE-D1A0-DC49-B008-A9820F9CDDC7}" name="MOTIVO DO DESPERDÍCIO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7823E-E20F-EA4E-9FF8-1EF55D40A730}">
  <dimension ref="A4:C570"/>
  <sheetViews>
    <sheetView tabSelected="1" workbookViewId="0">
      <selection activeCell="C26" sqref="C26"/>
    </sheetView>
  </sheetViews>
  <sheetFormatPr baseColWidth="10" defaultRowHeight="25" customHeight="1" x14ac:dyDescent="0.2"/>
  <cols>
    <col min="1" max="1" width="32.6640625" style="9" customWidth="1"/>
    <col min="2" max="2" width="16.33203125" style="3" customWidth="1"/>
    <col min="3" max="3" width="16.1640625" style="1" customWidth="1"/>
    <col min="4" max="16384" width="10.83203125" style="1"/>
  </cols>
  <sheetData>
    <row r="4" spans="1:3" ht="25" customHeight="1" x14ac:dyDescent="0.2">
      <c r="A4" s="5" t="s">
        <v>0</v>
      </c>
      <c r="B4" s="6" t="s">
        <v>5</v>
      </c>
      <c r="C4" s="6" t="s">
        <v>1</v>
      </c>
    </row>
    <row r="5" spans="1:3" ht="25" customHeight="1" x14ac:dyDescent="0.2">
      <c r="A5" s="7" t="s">
        <v>2</v>
      </c>
      <c r="B5" s="8">
        <v>12.54</v>
      </c>
      <c r="C5" s="8">
        <v>64.900000000000006</v>
      </c>
    </row>
    <row r="6" spans="1:3" ht="25" customHeight="1" x14ac:dyDescent="0.2">
      <c r="A6" s="7" t="s">
        <v>7</v>
      </c>
      <c r="B6" s="8">
        <v>2.44</v>
      </c>
      <c r="C6" s="8">
        <v>64.900000000000006</v>
      </c>
    </row>
    <row r="7" spans="1:3" ht="25" customHeight="1" x14ac:dyDescent="0.2">
      <c r="A7" s="7" t="s">
        <v>10</v>
      </c>
      <c r="B7" s="8">
        <v>10.4</v>
      </c>
      <c r="C7" s="8"/>
    </row>
    <row r="8" spans="1:3" ht="25" customHeight="1" x14ac:dyDescent="0.2">
      <c r="A8" s="7" t="s">
        <v>16</v>
      </c>
      <c r="B8" s="8">
        <v>0</v>
      </c>
      <c r="C8" s="8"/>
    </row>
    <row r="9" spans="1:3" ht="25" customHeight="1" x14ac:dyDescent="0.2">
      <c r="A9" s="7" t="s">
        <v>17</v>
      </c>
      <c r="B9" s="8">
        <v>14.7</v>
      </c>
      <c r="C9" s="8">
        <v>29.8</v>
      </c>
    </row>
    <row r="10" spans="1:3" ht="25" customHeight="1" x14ac:dyDescent="0.2">
      <c r="A10" s="7" t="s">
        <v>18</v>
      </c>
      <c r="B10" s="8"/>
      <c r="C10" s="8">
        <v>64.900000000000006</v>
      </c>
    </row>
    <row r="11" spans="1:3" ht="25" customHeight="1" x14ac:dyDescent="0.2">
      <c r="A11" s="7" t="s">
        <v>19</v>
      </c>
      <c r="B11" s="8">
        <v>15</v>
      </c>
      <c r="C11" s="8">
        <v>64.900000000000006</v>
      </c>
    </row>
    <row r="12" spans="1:3" ht="25" customHeight="1" x14ac:dyDescent="0.2">
      <c r="A12" s="7" t="s">
        <v>20</v>
      </c>
      <c r="B12" s="8">
        <v>17</v>
      </c>
      <c r="C12" s="8">
        <v>64.900000000000006</v>
      </c>
    </row>
    <row r="13" spans="1:3" ht="25" customHeight="1" x14ac:dyDescent="0.2">
      <c r="A13" s="7" t="s">
        <v>21</v>
      </c>
      <c r="B13" s="8"/>
      <c r="C13" s="8">
        <v>64.900000000000006</v>
      </c>
    </row>
    <row r="14" spans="1:3" ht="25" customHeight="1" x14ac:dyDescent="0.2">
      <c r="A14" s="7" t="s">
        <v>22</v>
      </c>
      <c r="B14" s="8">
        <v>7.2</v>
      </c>
      <c r="C14" s="8">
        <v>64.900000000000006</v>
      </c>
    </row>
    <row r="15" spans="1:3" ht="25" customHeight="1" x14ac:dyDescent="0.2">
      <c r="A15" s="7" t="s">
        <v>23</v>
      </c>
      <c r="B15" s="8">
        <v>14.95</v>
      </c>
      <c r="C15" s="8">
        <v>64.900000000000006</v>
      </c>
    </row>
    <row r="16" spans="1:3" ht="25" customHeight="1" x14ac:dyDescent="0.2">
      <c r="A16" s="7" t="s">
        <v>24</v>
      </c>
      <c r="B16" s="8">
        <v>12</v>
      </c>
      <c r="C16" s="8">
        <v>64.900000000000006</v>
      </c>
    </row>
    <row r="17" spans="1:3" ht="25" customHeight="1" x14ac:dyDescent="0.2">
      <c r="A17" s="7" t="s">
        <v>25</v>
      </c>
      <c r="B17" s="8">
        <v>28</v>
      </c>
      <c r="C17" s="8">
        <v>64.900000000000006</v>
      </c>
    </row>
    <row r="18" spans="1:3" ht="25" customHeight="1" x14ac:dyDescent="0.2">
      <c r="A18" s="7" t="s">
        <v>26</v>
      </c>
      <c r="B18" s="8"/>
      <c r="C18" s="8">
        <v>64.900000000000006</v>
      </c>
    </row>
    <row r="19" spans="1:3" ht="25" customHeight="1" x14ac:dyDescent="0.2">
      <c r="A19" s="7" t="s">
        <v>27</v>
      </c>
      <c r="B19" s="8">
        <v>6.1</v>
      </c>
      <c r="C19" s="8">
        <v>64.900000000000006</v>
      </c>
    </row>
    <row r="20" spans="1:3" ht="25" customHeight="1" x14ac:dyDescent="0.2">
      <c r="A20" s="7" t="s">
        <v>33</v>
      </c>
      <c r="B20" s="8">
        <v>28.65</v>
      </c>
      <c r="C20" s="8">
        <v>33.799999999999997</v>
      </c>
    </row>
    <row r="21" spans="1:3" ht="25" customHeight="1" x14ac:dyDescent="0.2">
      <c r="A21" s="7" t="s">
        <v>40</v>
      </c>
      <c r="B21" s="8">
        <v>4.5199999999999996</v>
      </c>
      <c r="C21" s="8">
        <v>29.8</v>
      </c>
    </row>
    <row r="22" spans="1:3" ht="25" customHeight="1" x14ac:dyDescent="0.2">
      <c r="A22" s="7" t="s">
        <v>41</v>
      </c>
      <c r="B22" s="8"/>
      <c r="C22" s="8">
        <v>64.900000000000006</v>
      </c>
    </row>
    <row r="23" spans="1:3" ht="25" customHeight="1" x14ac:dyDescent="0.2">
      <c r="A23" s="7" t="s">
        <v>42</v>
      </c>
      <c r="B23" s="8"/>
      <c r="C23" s="8">
        <v>64.900000000000006</v>
      </c>
    </row>
    <row r="24" spans="1:3" ht="25" customHeight="1" x14ac:dyDescent="0.2">
      <c r="A24" s="7" t="s">
        <v>43</v>
      </c>
      <c r="B24" s="8"/>
      <c r="C24" s="8">
        <v>64.900000000000006</v>
      </c>
    </row>
    <row r="25" spans="1:3" ht="25" customHeight="1" x14ac:dyDescent="0.2">
      <c r="A25" s="7" t="s">
        <v>44</v>
      </c>
      <c r="B25" s="8"/>
      <c r="C25" s="8">
        <v>64.900000000000006</v>
      </c>
    </row>
    <row r="26" spans="1:3" ht="25" customHeight="1" x14ac:dyDescent="0.2">
      <c r="A26" s="7"/>
      <c r="B26" s="8"/>
      <c r="C26" s="8"/>
    </row>
    <row r="27" spans="1:3" ht="25" customHeight="1" x14ac:dyDescent="0.2">
      <c r="A27" s="7"/>
      <c r="B27" s="8"/>
      <c r="C27" s="8"/>
    </row>
    <row r="28" spans="1:3" ht="25" customHeight="1" x14ac:dyDescent="0.2">
      <c r="A28" s="7"/>
      <c r="B28" s="8"/>
      <c r="C28" s="8"/>
    </row>
    <row r="29" spans="1:3" ht="25" customHeight="1" x14ac:dyDescent="0.2">
      <c r="A29" s="7"/>
      <c r="B29" s="8"/>
      <c r="C29" s="8"/>
    </row>
    <row r="30" spans="1:3" ht="25" customHeight="1" x14ac:dyDescent="0.2">
      <c r="A30" s="7"/>
      <c r="B30" s="8"/>
      <c r="C30" s="8"/>
    </row>
    <row r="31" spans="1:3" ht="25" customHeight="1" x14ac:dyDescent="0.2">
      <c r="A31" s="7"/>
      <c r="B31" s="8"/>
      <c r="C31" s="8"/>
    </row>
    <row r="32" spans="1:3" ht="25" customHeight="1" x14ac:dyDescent="0.2">
      <c r="A32" s="7"/>
      <c r="B32" s="8"/>
      <c r="C32" s="8"/>
    </row>
    <row r="33" spans="1:3" ht="25" customHeight="1" x14ac:dyDescent="0.2">
      <c r="A33" s="7"/>
      <c r="B33" s="8"/>
      <c r="C33" s="8"/>
    </row>
    <row r="34" spans="1:3" ht="25" customHeight="1" x14ac:dyDescent="0.2">
      <c r="A34" s="7"/>
      <c r="B34" s="8"/>
      <c r="C34" s="8"/>
    </row>
    <row r="35" spans="1:3" ht="25" customHeight="1" x14ac:dyDescent="0.2">
      <c r="A35" s="7"/>
      <c r="B35" s="8"/>
      <c r="C35" s="8"/>
    </row>
    <row r="36" spans="1:3" ht="25" customHeight="1" x14ac:dyDescent="0.2">
      <c r="A36" s="7"/>
      <c r="B36" s="8"/>
      <c r="C36" s="8"/>
    </row>
    <row r="37" spans="1:3" ht="25" customHeight="1" x14ac:dyDescent="0.2">
      <c r="A37" s="7"/>
      <c r="B37" s="8"/>
      <c r="C37" s="8"/>
    </row>
    <row r="38" spans="1:3" ht="25" customHeight="1" x14ac:dyDescent="0.2">
      <c r="A38" s="7"/>
      <c r="B38" s="8"/>
      <c r="C38" s="8"/>
    </row>
    <row r="39" spans="1:3" ht="25" customHeight="1" x14ac:dyDescent="0.2">
      <c r="A39" s="7"/>
      <c r="B39" s="8"/>
    </row>
    <row r="40" spans="1:3" ht="25" customHeight="1" x14ac:dyDescent="0.2">
      <c r="A40" s="7"/>
      <c r="B40" s="8"/>
    </row>
    <row r="41" spans="1:3" ht="25" customHeight="1" x14ac:dyDescent="0.2">
      <c r="A41" s="7"/>
      <c r="B41" s="8"/>
    </row>
    <row r="42" spans="1:3" ht="25" customHeight="1" x14ac:dyDescent="0.2">
      <c r="A42" s="7"/>
      <c r="B42" s="8"/>
    </row>
    <row r="43" spans="1:3" ht="25" customHeight="1" x14ac:dyDescent="0.2">
      <c r="A43" s="7"/>
      <c r="B43" s="8"/>
    </row>
    <row r="44" spans="1:3" ht="25" customHeight="1" x14ac:dyDescent="0.2">
      <c r="A44" s="7"/>
      <c r="B44" s="8"/>
    </row>
    <row r="45" spans="1:3" ht="25" customHeight="1" x14ac:dyDescent="0.2">
      <c r="A45" s="7"/>
      <c r="B45" s="8"/>
    </row>
    <row r="46" spans="1:3" ht="25" customHeight="1" x14ac:dyDescent="0.2">
      <c r="A46" s="7"/>
      <c r="B46" s="8"/>
    </row>
    <row r="47" spans="1:3" ht="25" customHeight="1" x14ac:dyDescent="0.2">
      <c r="A47" s="7"/>
      <c r="B47" s="8"/>
    </row>
    <row r="48" spans="1:3" ht="25" customHeight="1" x14ac:dyDescent="0.2">
      <c r="A48" s="7"/>
      <c r="B48" s="8"/>
    </row>
    <row r="49" spans="1:2" ht="25" customHeight="1" x14ac:dyDescent="0.2">
      <c r="A49" s="7"/>
      <c r="B49" s="8"/>
    </row>
    <row r="50" spans="1:2" ht="25" customHeight="1" x14ac:dyDescent="0.2">
      <c r="A50" s="7"/>
      <c r="B50" s="8"/>
    </row>
    <row r="51" spans="1:2" ht="25" customHeight="1" x14ac:dyDescent="0.2">
      <c r="A51" s="7"/>
      <c r="B51" s="8"/>
    </row>
    <row r="52" spans="1:2" ht="25" customHeight="1" x14ac:dyDescent="0.2">
      <c r="A52" s="7"/>
      <c r="B52" s="8"/>
    </row>
    <row r="53" spans="1:2" ht="25" customHeight="1" x14ac:dyDescent="0.2">
      <c r="A53" s="7"/>
      <c r="B53" s="8"/>
    </row>
    <row r="54" spans="1:2" ht="25" customHeight="1" x14ac:dyDescent="0.2">
      <c r="A54" s="7"/>
      <c r="B54" s="8"/>
    </row>
    <row r="55" spans="1:2" ht="25" customHeight="1" x14ac:dyDescent="0.2">
      <c r="A55" s="7"/>
      <c r="B55" s="8"/>
    </row>
    <row r="56" spans="1:2" ht="25" customHeight="1" x14ac:dyDescent="0.2">
      <c r="A56" s="7"/>
      <c r="B56" s="8"/>
    </row>
    <row r="57" spans="1:2" ht="25" customHeight="1" x14ac:dyDescent="0.2">
      <c r="A57" s="7"/>
      <c r="B57" s="8"/>
    </row>
    <row r="58" spans="1:2" ht="25" customHeight="1" x14ac:dyDescent="0.2">
      <c r="A58" s="7"/>
      <c r="B58" s="8"/>
    </row>
    <row r="59" spans="1:2" ht="25" customHeight="1" x14ac:dyDescent="0.2">
      <c r="A59" s="7"/>
      <c r="B59" s="8"/>
    </row>
    <row r="60" spans="1:2" ht="25" customHeight="1" x14ac:dyDescent="0.2">
      <c r="A60" s="7"/>
      <c r="B60" s="8"/>
    </row>
    <row r="61" spans="1:2" ht="25" customHeight="1" x14ac:dyDescent="0.2">
      <c r="A61" s="7"/>
      <c r="B61" s="8"/>
    </row>
    <row r="62" spans="1:2" ht="25" customHeight="1" x14ac:dyDescent="0.2">
      <c r="A62" s="7"/>
      <c r="B62" s="8"/>
    </row>
    <row r="63" spans="1:2" ht="25" customHeight="1" x14ac:dyDescent="0.2">
      <c r="A63" s="7"/>
      <c r="B63" s="8"/>
    </row>
    <row r="64" spans="1:2" ht="25" customHeight="1" x14ac:dyDescent="0.2">
      <c r="A64" s="7"/>
      <c r="B64" s="8"/>
    </row>
    <row r="65" spans="1:2" ht="25" customHeight="1" x14ac:dyDescent="0.2">
      <c r="A65" s="7"/>
      <c r="B65" s="8"/>
    </row>
    <row r="66" spans="1:2" ht="25" customHeight="1" x14ac:dyDescent="0.2">
      <c r="A66" s="7"/>
      <c r="B66" s="8"/>
    </row>
    <row r="67" spans="1:2" ht="25" customHeight="1" x14ac:dyDescent="0.2">
      <c r="A67" s="7"/>
      <c r="B67" s="8"/>
    </row>
    <row r="68" spans="1:2" ht="25" customHeight="1" x14ac:dyDescent="0.2">
      <c r="A68" s="7"/>
      <c r="B68" s="8"/>
    </row>
    <row r="69" spans="1:2" ht="25" customHeight="1" x14ac:dyDescent="0.2">
      <c r="A69" s="7"/>
      <c r="B69" s="8"/>
    </row>
    <row r="70" spans="1:2" ht="25" customHeight="1" x14ac:dyDescent="0.2">
      <c r="A70" s="7"/>
      <c r="B70" s="8"/>
    </row>
    <row r="71" spans="1:2" ht="25" customHeight="1" x14ac:dyDescent="0.2">
      <c r="A71" s="7"/>
      <c r="B71" s="8"/>
    </row>
    <row r="72" spans="1:2" ht="25" customHeight="1" x14ac:dyDescent="0.2">
      <c r="A72" s="7"/>
      <c r="B72" s="8"/>
    </row>
    <row r="73" spans="1:2" ht="25" customHeight="1" x14ac:dyDescent="0.2">
      <c r="A73" s="7"/>
      <c r="B73" s="8"/>
    </row>
    <row r="74" spans="1:2" ht="25" customHeight="1" x14ac:dyDescent="0.2">
      <c r="A74" s="7"/>
      <c r="B74" s="8"/>
    </row>
    <row r="75" spans="1:2" ht="25" customHeight="1" x14ac:dyDescent="0.2">
      <c r="A75" s="7"/>
      <c r="B75" s="8"/>
    </row>
    <row r="76" spans="1:2" ht="25" customHeight="1" x14ac:dyDescent="0.2">
      <c r="A76" s="7"/>
      <c r="B76" s="8"/>
    </row>
    <row r="77" spans="1:2" ht="25" customHeight="1" x14ac:dyDescent="0.2">
      <c r="A77" s="7"/>
      <c r="B77" s="8"/>
    </row>
    <row r="78" spans="1:2" ht="25" customHeight="1" x14ac:dyDescent="0.2">
      <c r="A78" s="7"/>
      <c r="B78" s="8"/>
    </row>
    <row r="79" spans="1:2" ht="25" customHeight="1" x14ac:dyDescent="0.2">
      <c r="A79" s="7"/>
      <c r="B79" s="8"/>
    </row>
    <row r="80" spans="1:2" ht="25" customHeight="1" x14ac:dyDescent="0.2">
      <c r="A80" s="7"/>
      <c r="B80" s="8"/>
    </row>
    <row r="81" spans="1:2" ht="25" customHeight="1" x14ac:dyDescent="0.2">
      <c r="A81" s="7"/>
      <c r="B81" s="8"/>
    </row>
    <row r="82" spans="1:2" ht="25" customHeight="1" x14ac:dyDescent="0.2">
      <c r="A82" s="7"/>
      <c r="B82" s="8"/>
    </row>
    <row r="83" spans="1:2" ht="25" customHeight="1" x14ac:dyDescent="0.2">
      <c r="A83" s="7"/>
      <c r="B83" s="8"/>
    </row>
    <row r="84" spans="1:2" ht="25" customHeight="1" x14ac:dyDescent="0.2">
      <c r="A84" s="7"/>
      <c r="B84" s="8"/>
    </row>
    <row r="85" spans="1:2" ht="25" customHeight="1" x14ac:dyDescent="0.2">
      <c r="A85" s="7"/>
      <c r="B85" s="8"/>
    </row>
    <row r="86" spans="1:2" ht="25" customHeight="1" x14ac:dyDescent="0.2">
      <c r="A86" s="7"/>
      <c r="B86" s="8"/>
    </row>
    <row r="87" spans="1:2" ht="25" customHeight="1" x14ac:dyDescent="0.2">
      <c r="A87" s="7"/>
      <c r="B87" s="8"/>
    </row>
    <row r="88" spans="1:2" ht="25" customHeight="1" x14ac:dyDescent="0.2">
      <c r="A88" s="7"/>
      <c r="B88" s="8"/>
    </row>
    <row r="89" spans="1:2" ht="25" customHeight="1" x14ac:dyDescent="0.2">
      <c r="A89" s="7"/>
      <c r="B89" s="8"/>
    </row>
    <row r="90" spans="1:2" ht="25" customHeight="1" x14ac:dyDescent="0.2">
      <c r="A90" s="7"/>
      <c r="B90" s="8"/>
    </row>
    <row r="91" spans="1:2" ht="25" customHeight="1" x14ac:dyDescent="0.2">
      <c r="A91" s="7"/>
      <c r="B91" s="8"/>
    </row>
    <row r="92" spans="1:2" ht="25" customHeight="1" x14ac:dyDescent="0.2">
      <c r="A92" s="7"/>
      <c r="B92" s="8"/>
    </row>
    <row r="93" spans="1:2" ht="25" customHeight="1" x14ac:dyDescent="0.2">
      <c r="A93" s="7"/>
      <c r="B93" s="8"/>
    </row>
    <row r="94" spans="1:2" ht="25" customHeight="1" x14ac:dyDescent="0.2">
      <c r="A94" s="7"/>
      <c r="B94" s="8"/>
    </row>
    <row r="95" spans="1:2" ht="25" customHeight="1" x14ac:dyDescent="0.2">
      <c r="A95" s="7"/>
      <c r="B95" s="8"/>
    </row>
    <row r="96" spans="1:2" ht="25" customHeight="1" x14ac:dyDescent="0.2">
      <c r="A96" s="7"/>
      <c r="B96" s="8"/>
    </row>
    <row r="97" spans="1:2" ht="25" customHeight="1" x14ac:dyDescent="0.2">
      <c r="A97" s="7"/>
      <c r="B97" s="8"/>
    </row>
    <row r="98" spans="1:2" ht="25" customHeight="1" x14ac:dyDescent="0.2">
      <c r="A98" s="7"/>
      <c r="B98" s="8"/>
    </row>
    <row r="99" spans="1:2" ht="25" customHeight="1" x14ac:dyDescent="0.2">
      <c r="A99" s="7"/>
      <c r="B99" s="8"/>
    </row>
    <row r="100" spans="1:2" ht="25" customHeight="1" x14ac:dyDescent="0.2">
      <c r="A100" s="7"/>
      <c r="B100" s="8"/>
    </row>
    <row r="101" spans="1:2" ht="25" customHeight="1" x14ac:dyDescent="0.2">
      <c r="A101" s="7"/>
      <c r="B101" s="8"/>
    </row>
    <row r="102" spans="1:2" ht="25" customHeight="1" x14ac:dyDescent="0.2">
      <c r="A102" s="7"/>
      <c r="B102" s="8"/>
    </row>
    <row r="103" spans="1:2" ht="25" customHeight="1" x14ac:dyDescent="0.2">
      <c r="A103" s="7"/>
      <c r="B103" s="8"/>
    </row>
    <row r="104" spans="1:2" ht="25" customHeight="1" x14ac:dyDescent="0.2">
      <c r="A104" s="7"/>
      <c r="B104" s="8"/>
    </row>
    <row r="105" spans="1:2" ht="25" customHeight="1" x14ac:dyDescent="0.2">
      <c r="A105" s="7"/>
      <c r="B105" s="8"/>
    </row>
    <row r="106" spans="1:2" ht="25" customHeight="1" x14ac:dyDescent="0.2">
      <c r="A106" s="7"/>
      <c r="B106" s="8"/>
    </row>
    <row r="107" spans="1:2" ht="25" customHeight="1" x14ac:dyDescent="0.2">
      <c r="A107" s="7"/>
      <c r="B107" s="8"/>
    </row>
    <row r="108" spans="1:2" ht="25" customHeight="1" x14ac:dyDescent="0.2">
      <c r="A108" s="7"/>
      <c r="B108" s="8"/>
    </row>
    <row r="109" spans="1:2" ht="25" customHeight="1" x14ac:dyDescent="0.2">
      <c r="A109" s="7"/>
      <c r="B109" s="8"/>
    </row>
    <row r="110" spans="1:2" ht="25" customHeight="1" x14ac:dyDescent="0.2">
      <c r="A110" s="7"/>
      <c r="B110" s="8"/>
    </row>
    <row r="111" spans="1:2" ht="25" customHeight="1" x14ac:dyDescent="0.2">
      <c r="A111" s="7"/>
      <c r="B111" s="8"/>
    </row>
    <row r="112" spans="1:2" ht="25" customHeight="1" x14ac:dyDescent="0.2">
      <c r="A112" s="7"/>
      <c r="B112" s="8"/>
    </row>
    <row r="113" spans="1:2" ht="25" customHeight="1" x14ac:dyDescent="0.2">
      <c r="A113" s="7"/>
      <c r="B113" s="8"/>
    </row>
    <row r="114" spans="1:2" ht="25" customHeight="1" x14ac:dyDescent="0.2">
      <c r="A114" s="7"/>
      <c r="B114" s="8"/>
    </row>
    <row r="115" spans="1:2" ht="25" customHeight="1" x14ac:dyDescent="0.2">
      <c r="A115" s="7"/>
      <c r="B115" s="8"/>
    </row>
    <row r="116" spans="1:2" ht="25" customHeight="1" x14ac:dyDescent="0.2">
      <c r="A116" s="7"/>
      <c r="B116" s="8"/>
    </row>
    <row r="117" spans="1:2" ht="25" customHeight="1" x14ac:dyDescent="0.2">
      <c r="A117" s="7"/>
      <c r="B117" s="8"/>
    </row>
    <row r="118" spans="1:2" ht="25" customHeight="1" x14ac:dyDescent="0.2">
      <c r="A118" s="7"/>
      <c r="B118" s="8"/>
    </row>
    <row r="119" spans="1:2" ht="25" customHeight="1" x14ac:dyDescent="0.2">
      <c r="A119" s="7"/>
      <c r="B119" s="8"/>
    </row>
    <row r="120" spans="1:2" ht="25" customHeight="1" x14ac:dyDescent="0.2">
      <c r="A120" s="7"/>
      <c r="B120" s="8"/>
    </row>
    <row r="121" spans="1:2" ht="25" customHeight="1" x14ac:dyDescent="0.2">
      <c r="A121" s="7"/>
      <c r="B121" s="8"/>
    </row>
    <row r="122" spans="1:2" ht="25" customHeight="1" x14ac:dyDescent="0.2">
      <c r="A122" s="7"/>
      <c r="B122" s="8"/>
    </row>
    <row r="123" spans="1:2" ht="25" customHeight="1" x14ac:dyDescent="0.2">
      <c r="A123" s="7"/>
      <c r="B123" s="8"/>
    </row>
    <row r="124" spans="1:2" ht="25" customHeight="1" x14ac:dyDescent="0.2">
      <c r="A124" s="7"/>
      <c r="B124" s="8"/>
    </row>
    <row r="125" spans="1:2" ht="25" customHeight="1" x14ac:dyDescent="0.2">
      <c r="A125" s="7"/>
      <c r="B125" s="8"/>
    </row>
    <row r="126" spans="1:2" ht="25" customHeight="1" x14ac:dyDescent="0.2">
      <c r="A126" s="7"/>
      <c r="B126" s="8"/>
    </row>
    <row r="127" spans="1:2" ht="25" customHeight="1" x14ac:dyDescent="0.2">
      <c r="A127" s="7"/>
      <c r="B127" s="8"/>
    </row>
    <row r="128" spans="1:2" ht="25" customHeight="1" x14ac:dyDescent="0.2">
      <c r="A128" s="7"/>
      <c r="B128" s="8"/>
    </row>
    <row r="129" spans="1:2" ht="25" customHeight="1" x14ac:dyDescent="0.2">
      <c r="A129" s="7"/>
      <c r="B129" s="8"/>
    </row>
    <row r="130" spans="1:2" ht="25" customHeight="1" x14ac:dyDescent="0.2">
      <c r="A130" s="7"/>
      <c r="B130" s="8"/>
    </row>
    <row r="131" spans="1:2" ht="25" customHeight="1" x14ac:dyDescent="0.2">
      <c r="A131" s="7"/>
      <c r="B131" s="8"/>
    </row>
    <row r="132" spans="1:2" ht="25" customHeight="1" x14ac:dyDescent="0.2">
      <c r="A132" s="7"/>
      <c r="B132" s="8"/>
    </row>
    <row r="133" spans="1:2" ht="25" customHeight="1" x14ac:dyDescent="0.2">
      <c r="A133" s="7"/>
      <c r="B133" s="8"/>
    </row>
    <row r="134" spans="1:2" ht="25" customHeight="1" x14ac:dyDescent="0.2">
      <c r="A134" s="7"/>
      <c r="B134" s="8"/>
    </row>
    <row r="135" spans="1:2" ht="25" customHeight="1" x14ac:dyDescent="0.2">
      <c r="A135" s="7"/>
      <c r="B135" s="8"/>
    </row>
    <row r="136" spans="1:2" ht="25" customHeight="1" x14ac:dyDescent="0.2">
      <c r="A136" s="7"/>
      <c r="B136" s="8"/>
    </row>
    <row r="137" spans="1:2" ht="25" customHeight="1" x14ac:dyDescent="0.2">
      <c r="A137" s="7"/>
      <c r="B137" s="8"/>
    </row>
    <row r="138" spans="1:2" ht="25" customHeight="1" x14ac:dyDescent="0.2">
      <c r="A138" s="7"/>
      <c r="B138" s="8"/>
    </row>
    <row r="139" spans="1:2" ht="25" customHeight="1" x14ac:dyDescent="0.2">
      <c r="A139" s="7"/>
      <c r="B139" s="8"/>
    </row>
    <row r="140" spans="1:2" ht="25" customHeight="1" x14ac:dyDescent="0.2">
      <c r="A140" s="7"/>
      <c r="B140" s="8"/>
    </row>
    <row r="141" spans="1:2" ht="25" customHeight="1" x14ac:dyDescent="0.2">
      <c r="A141" s="7"/>
      <c r="B141" s="8"/>
    </row>
    <row r="142" spans="1:2" ht="25" customHeight="1" x14ac:dyDescent="0.2">
      <c r="A142" s="7"/>
      <c r="B142" s="8"/>
    </row>
    <row r="143" spans="1:2" ht="25" customHeight="1" x14ac:dyDescent="0.2">
      <c r="A143" s="7"/>
      <c r="B143" s="8"/>
    </row>
    <row r="144" spans="1:2" ht="25" customHeight="1" x14ac:dyDescent="0.2">
      <c r="A144" s="7"/>
      <c r="B144" s="8"/>
    </row>
    <row r="145" spans="1:2" ht="25" customHeight="1" x14ac:dyDescent="0.2">
      <c r="A145" s="7"/>
      <c r="B145" s="8"/>
    </row>
    <row r="146" spans="1:2" ht="25" customHeight="1" x14ac:dyDescent="0.2">
      <c r="A146" s="7"/>
      <c r="B146" s="8"/>
    </row>
    <row r="147" spans="1:2" ht="25" customHeight="1" x14ac:dyDescent="0.2">
      <c r="A147" s="7"/>
      <c r="B147" s="8"/>
    </row>
    <row r="148" spans="1:2" ht="25" customHeight="1" x14ac:dyDescent="0.2">
      <c r="A148" s="7"/>
      <c r="B148" s="8"/>
    </row>
    <row r="149" spans="1:2" ht="25" customHeight="1" x14ac:dyDescent="0.2">
      <c r="A149" s="7"/>
      <c r="B149" s="8"/>
    </row>
    <row r="150" spans="1:2" ht="25" customHeight="1" x14ac:dyDescent="0.2">
      <c r="A150" s="7"/>
      <c r="B150" s="8"/>
    </row>
    <row r="151" spans="1:2" ht="25" customHeight="1" x14ac:dyDescent="0.2">
      <c r="A151" s="7"/>
      <c r="B151" s="8"/>
    </row>
    <row r="152" spans="1:2" ht="25" customHeight="1" x14ac:dyDescent="0.2">
      <c r="A152" s="7"/>
      <c r="B152" s="8"/>
    </row>
    <row r="153" spans="1:2" ht="25" customHeight="1" x14ac:dyDescent="0.2">
      <c r="A153" s="7"/>
      <c r="B153" s="8"/>
    </row>
    <row r="154" spans="1:2" ht="25" customHeight="1" x14ac:dyDescent="0.2">
      <c r="A154" s="7"/>
      <c r="B154" s="8"/>
    </row>
    <row r="155" spans="1:2" ht="25" customHeight="1" x14ac:dyDescent="0.2">
      <c r="A155" s="7"/>
      <c r="B155" s="8"/>
    </row>
    <row r="156" spans="1:2" ht="25" customHeight="1" x14ac:dyDescent="0.2">
      <c r="A156" s="7"/>
      <c r="B156" s="8"/>
    </row>
    <row r="157" spans="1:2" ht="25" customHeight="1" x14ac:dyDescent="0.2">
      <c r="A157" s="7"/>
      <c r="B157" s="8"/>
    </row>
    <row r="158" spans="1:2" ht="25" customHeight="1" x14ac:dyDescent="0.2">
      <c r="A158" s="7"/>
      <c r="B158" s="8"/>
    </row>
    <row r="159" spans="1:2" ht="25" customHeight="1" x14ac:dyDescent="0.2">
      <c r="A159" s="7"/>
      <c r="B159" s="8"/>
    </row>
    <row r="160" spans="1:2" ht="25" customHeight="1" x14ac:dyDescent="0.2">
      <c r="A160" s="7"/>
      <c r="B160" s="8"/>
    </row>
    <row r="161" spans="1:2" ht="25" customHeight="1" x14ac:dyDescent="0.2">
      <c r="A161" s="7"/>
      <c r="B161" s="8"/>
    </row>
    <row r="162" spans="1:2" ht="25" customHeight="1" x14ac:dyDescent="0.2">
      <c r="A162" s="7"/>
      <c r="B162" s="8"/>
    </row>
    <row r="163" spans="1:2" ht="25" customHeight="1" x14ac:dyDescent="0.2">
      <c r="A163" s="7"/>
      <c r="B163" s="8"/>
    </row>
    <row r="164" spans="1:2" ht="25" customHeight="1" x14ac:dyDescent="0.2">
      <c r="A164" s="7"/>
      <c r="B164" s="8"/>
    </row>
    <row r="165" spans="1:2" ht="25" customHeight="1" x14ac:dyDescent="0.2">
      <c r="A165" s="7"/>
      <c r="B165" s="8"/>
    </row>
    <row r="166" spans="1:2" ht="25" customHeight="1" x14ac:dyDescent="0.2">
      <c r="A166" s="7"/>
      <c r="B166" s="8"/>
    </row>
    <row r="167" spans="1:2" ht="25" customHeight="1" x14ac:dyDescent="0.2">
      <c r="A167" s="7"/>
      <c r="B167" s="8"/>
    </row>
    <row r="168" spans="1:2" ht="25" customHeight="1" x14ac:dyDescent="0.2">
      <c r="A168" s="7"/>
      <c r="B168" s="8"/>
    </row>
    <row r="169" spans="1:2" ht="25" customHeight="1" x14ac:dyDescent="0.2">
      <c r="A169" s="7"/>
      <c r="B169" s="8"/>
    </row>
    <row r="170" spans="1:2" ht="25" customHeight="1" x14ac:dyDescent="0.2">
      <c r="A170" s="7"/>
      <c r="B170" s="8"/>
    </row>
    <row r="171" spans="1:2" ht="25" customHeight="1" x14ac:dyDescent="0.2">
      <c r="A171" s="7"/>
      <c r="B171" s="8"/>
    </row>
    <row r="172" spans="1:2" ht="25" customHeight="1" x14ac:dyDescent="0.2">
      <c r="A172" s="7"/>
      <c r="B172" s="8"/>
    </row>
    <row r="173" spans="1:2" ht="25" customHeight="1" x14ac:dyDescent="0.2">
      <c r="A173" s="7"/>
      <c r="B173" s="8"/>
    </row>
    <row r="174" spans="1:2" ht="25" customHeight="1" x14ac:dyDescent="0.2">
      <c r="A174" s="7"/>
      <c r="B174" s="8"/>
    </row>
    <row r="175" spans="1:2" ht="25" customHeight="1" x14ac:dyDescent="0.2">
      <c r="A175" s="7"/>
      <c r="B175" s="8"/>
    </row>
    <row r="176" spans="1:2" ht="25" customHeight="1" x14ac:dyDescent="0.2">
      <c r="A176" s="7"/>
      <c r="B176" s="8"/>
    </row>
    <row r="177" spans="1:2" ht="25" customHeight="1" x14ac:dyDescent="0.2">
      <c r="A177" s="7"/>
      <c r="B177" s="8"/>
    </row>
    <row r="178" spans="1:2" ht="25" customHeight="1" x14ac:dyDescent="0.2">
      <c r="A178" s="7"/>
      <c r="B178" s="8"/>
    </row>
    <row r="179" spans="1:2" ht="25" customHeight="1" x14ac:dyDescent="0.2">
      <c r="A179" s="7"/>
      <c r="B179" s="8"/>
    </row>
    <row r="180" spans="1:2" ht="25" customHeight="1" x14ac:dyDescent="0.2">
      <c r="A180" s="7"/>
      <c r="B180" s="8"/>
    </row>
    <row r="181" spans="1:2" ht="25" customHeight="1" x14ac:dyDescent="0.2">
      <c r="A181" s="7"/>
      <c r="B181" s="8"/>
    </row>
    <row r="182" spans="1:2" ht="25" customHeight="1" x14ac:dyDescent="0.2">
      <c r="A182" s="7"/>
      <c r="B182" s="8"/>
    </row>
    <row r="183" spans="1:2" ht="25" customHeight="1" x14ac:dyDescent="0.2">
      <c r="A183" s="7"/>
      <c r="B183" s="8"/>
    </row>
    <row r="184" spans="1:2" ht="25" customHeight="1" x14ac:dyDescent="0.2">
      <c r="A184" s="7"/>
      <c r="B184" s="8"/>
    </row>
    <row r="185" spans="1:2" ht="25" customHeight="1" x14ac:dyDescent="0.2">
      <c r="A185" s="7"/>
      <c r="B185" s="8"/>
    </row>
    <row r="186" spans="1:2" ht="25" customHeight="1" x14ac:dyDescent="0.2">
      <c r="A186" s="7"/>
      <c r="B186" s="8"/>
    </row>
    <row r="187" spans="1:2" ht="25" customHeight="1" x14ac:dyDescent="0.2">
      <c r="A187" s="7"/>
      <c r="B187" s="8"/>
    </row>
    <row r="188" spans="1:2" ht="25" customHeight="1" x14ac:dyDescent="0.2">
      <c r="A188" s="7"/>
      <c r="B188" s="8"/>
    </row>
    <row r="189" spans="1:2" ht="25" customHeight="1" x14ac:dyDescent="0.2">
      <c r="A189" s="7"/>
      <c r="B189" s="8"/>
    </row>
    <row r="190" spans="1:2" ht="25" customHeight="1" x14ac:dyDescent="0.2">
      <c r="A190" s="7"/>
      <c r="B190" s="8"/>
    </row>
    <row r="191" spans="1:2" ht="25" customHeight="1" x14ac:dyDescent="0.2">
      <c r="A191" s="7"/>
      <c r="B191" s="8"/>
    </row>
    <row r="192" spans="1:2" ht="25" customHeight="1" x14ac:dyDescent="0.2">
      <c r="A192" s="7"/>
      <c r="B192" s="8"/>
    </row>
    <row r="193" spans="1:2" ht="25" customHeight="1" x14ac:dyDescent="0.2">
      <c r="A193" s="7"/>
      <c r="B193" s="8"/>
    </row>
    <row r="194" spans="1:2" ht="25" customHeight="1" x14ac:dyDescent="0.2">
      <c r="A194" s="7"/>
      <c r="B194" s="8"/>
    </row>
    <row r="195" spans="1:2" ht="25" customHeight="1" x14ac:dyDescent="0.2">
      <c r="A195" s="7"/>
      <c r="B195" s="8"/>
    </row>
    <row r="196" spans="1:2" ht="25" customHeight="1" x14ac:dyDescent="0.2">
      <c r="A196" s="7"/>
      <c r="B196" s="8"/>
    </row>
    <row r="197" spans="1:2" ht="25" customHeight="1" x14ac:dyDescent="0.2">
      <c r="A197" s="7"/>
      <c r="B197" s="8"/>
    </row>
    <row r="198" spans="1:2" ht="25" customHeight="1" x14ac:dyDescent="0.2">
      <c r="A198" s="7"/>
      <c r="B198" s="8"/>
    </row>
    <row r="199" spans="1:2" ht="25" customHeight="1" x14ac:dyDescent="0.2">
      <c r="A199" s="7"/>
      <c r="B199" s="8"/>
    </row>
    <row r="200" spans="1:2" ht="25" customHeight="1" x14ac:dyDescent="0.2">
      <c r="A200" s="7"/>
      <c r="B200" s="8"/>
    </row>
    <row r="201" spans="1:2" ht="25" customHeight="1" x14ac:dyDescent="0.2">
      <c r="A201" s="7"/>
      <c r="B201" s="8"/>
    </row>
    <row r="202" spans="1:2" ht="25" customHeight="1" x14ac:dyDescent="0.2">
      <c r="A202" s="7"/>
      <c r="B202" s="8"/>
    </row>
    <row r="203" spans="1:2" ht="25" customHeight="1" x14ac:dyDescent="0.2">
      <c r="A203" s="7"/>
      <c r="B203" s="8"/>
    </row>
    <row r="204" spans="1:2" ht="25" customHeight="1" x14ac:dyDescent="0.2">
      <c r="A204" s="7"/>
      <c r="B204" s="8"/>
    </row>
    <row r="205" spans="1:2" ht="25" customHeight="1" x14ac:dyDescent="0.2">
      <c r="A205" s="7"/>
      <c r="B205" s="8"/>
    </row>
    <row r="206" spans="1:2" ht="25" customHeight="1" x14ac:dyDescent="0.2">
      <c r="A206" s="7"/>
      <c r="B206" s="8"/>
    </row>
    <row r="207" spans="1:2" ht="25" customHeight="1" x14ac:dyDescent="0.2">
      <c r="A207" s="7"/>
      <c r="B207" s="8"/>
    </row>
    <row r="208" spans="1:2" ht="25" customHeight="1" x14ac:dyDescent="0.2">
      <c r="A208" s="7"/>
      <c r="B208" s="8"/>
    </row>
    <row r="209" spans="1:2" ht="25" customHeight="1" x14ac:dyDescent="0.2">
      <c r="A209" s="7"/>
      <c r="B209" s="8"/>
    </row>
    <row r="210" spans="1:2" ht="25" customHeight="1" x14ac:dyDescent="0.2">
      <c r="A210" s="7"/>
      <c r="B210" s="8"/>
    </row>
    <row r="211" spans="1:2" ht="25" customHeight="1" x14ac:dyDescent="0.2">
      <c r="A211" s="7"/>
      <c r="B211" s="8"/>
    </row>
    <row r="212" spans="1:2" ht="25" customHeight="1" x14ac:dyDescent="0.2">
      <c r="A212" s="7"/>
      <c r="B212" s="8"/>
    </row>
    <row r="213" spans="1:2" ht="25" customHeight="1" x14ac:dyDescent="0.2">
      <c r="A213" s="7"/>
      <c r="B213" s="8"/>
    </row>
    <row r="214" spans="1:2" ht="25" customHeight="1" x14ac:dyDescent="0.2">
      <c r="A214" s="7"/>
      <c r="B214" s="8"/>
    </row>
    <row r="215" spans="1:2" ht="25" customHeight="1" x14ac:dyDescent="0.2">
      <c r="A215" s="7"/>
      <c r="B215" s="8"/>
    </row>
    <row r="216" spans="1:2" ht="25" customHeight="1" x14ac:dyDescent="0.2">
      <c r="A216" s="7"/>
      <c r="B216" s="8"/>
    </row>
    <row r="217" spans="1:2" ht="25" customHeight="1" x14ac:dyDescent="0.2">
      <c r="A217" s="7"/>
      <c r="B217" s="8"/>
    </row>
    <row r="218" spans="1:2" ht="25" customHeight="1" x14ac:dyDescent="0.2">
      <c r="A218" s="7"/>
      <c r="B218" s="8"/>
    </row>
    <row r="219" spans="1:2" ht="25" customHeight="1" x14ac:dyDescent="0.2">
      <c r="A219" s="7"/>
      <c r="B219" s="8"/>
    </row>
    <row r="220" spans="1:2" ht="25" customHeight="1" x14ac:dyDescent="0.2">
      <c r="A220" s="7"/>
      <c r="B220" s="8"/>
    </row>
    <row r="221" spans="1:2" ht="25" customHeight="1" x14ac:dyDescent="0.2">
      <c r="A221" s="7"/>
      <c r="B221" s="8"/>
    </row>
    <row r="222" spans="1:2" ht="25" customHeight="1" x14ac:dyDescent="0.2">
      <c r="A222" s="7"/>
      <c r="B222" s="8"/>
    </row>
    <row r="223" spans="1:2" ht="25" customHeight="1" x14ac:dyDescent="0.2">
      <c r="A223" s="7"/>
      <c r="B223" s="8"/>
    </row>
    <row r="224" spans="1:2" ht="25" customHeight="1" x14ac:dyDescent="0.2">
      <c r="A224" s="7"/>
      <c r="B224" s="8"/>
    </row>
    <row r="225" spans="1:2" ht="25" customHeight="1" x14ac:dyDescent="0.2">
      <c r="A225" s="7"/>
      <c r="B225" s="8"/>
    </row>
    <row r="226" spans="1:2" ht="25" customHeight="1" x14ac:dyDescent="0.2">
      <c r="A226" s="7"/>
      <c r="B226" s="8"/>
    </row>
    <row r="227" spans="1:2" ht="25" customHeight="1" x14ac:dyDescent="0.2">
      <c r="A227" s="7"/>
      <c r="B227" s="8"/>
    </row>
    <row r="228" spans="1:2" ht="25" customHeight="1" x14ac:dyDescent="0.2">
      <c r="A228" s="7"/>
      <c r="B228" s="8"/>
    </row>
    <row r="229" spans="1:2" ht="25" customHeight="1" x14ac:dyDescent="0.2">
      <c r="A229" s="7"/>
      <c r="B229" s="8"/>
    </row>
    <row r="230" spans="1:2" ht="25" customHeight="1" x14ac:dyDescent="0.2">
      <c r="A230" s="7"/>
      <c r="B230" s="8"/>
    </row>
    <row r="231" spans="1:2" ht="25" customHeight="1" x14ac:dyDescent="0.2">
      <c r="A231" s="7"/>
      <c r="B231" s="8"/>
    </row>
    <row r="232" spans="1:2" ht="25" customHeight="1" x14ac:dyDescent="0.2">
      <c r="A232" s="7"/>
      <c r="B232" s="8"/>
    </row>
    <row r="233" spans="1:2" ht="25" customHeight="1" x14ac:dyDescent="0.2">
      <c r="A233" s="7"/>
      <c r="B233" s="8"/>
    </row>
    <row r="234" spans="1:2" ht="25" customHeight="1" x14ac:dyDescent="0.2">
      <c r="A234" s="7"/>
      <c r="B234" s="8"/>
    </row>
    <row r="235" spans="1:2" ht="25" customHeight="1" x14ac:dyDescent="0.2">
      <c r="A235" s="7"/>
      <c r="B235" s="8"/>
    </row>
    <row r="236" spans="1:2" ht="25" customHeight="1" x14ac:dyDescent="0.2">
      <c r="A236" s="7"/>
      <c r="B236" s="8"/>
    </row>
    <row r="237" spans="1:2" ht="25" customHeight="1" x14ac:dyDescent="0.2">
      <c r="A237" s="7"/>
      <c r="B237" s="8"/>
    </row>
    <row r="238" spans="1:2" ht="25" customHeight="1" x14ac:dyDescent="0.2">
      <c r="A238" s="7"/>
      <c r="B238" s="8"/>
    </row>
    <row r="239" spans="1:2" ht="25" customHeight="1" x14ac:dyDescent="0.2">
      <c r="A239" s="7"/>
      <c r="B239" s="8"/>
    </row>
    <row r="240" spans="1:2" ht="25" customHeight="1" x14ac:dyDescent="0.2">
      <c r="A240" s="7"/>
      <c r="B240" s="8"/>
    </row>
    <row r="241" spans="1:2" ht="25" customHeight="1" x14ac:dyDescent="0.2">
      <c r="A241" s="7"/>
      <c r="B241" s="8"/>
    </row>
    <row r="242" spans="1:2" ht="25" customHeight="1" x14ac:dyDescent="0.2">
      <c r="A242" s="7"/>
      <c r="B242" s="8"/>
    </row>
    <row r="243" spans="1:2" ht="25" customHeight="1" x14ac:dyDescent="0.2">
      <c r="A243" s="7"/>
      <c r="B243" s="8"/>
    </row>
    <row r="244" spans="1:2" ht="25" customHeight="1" x14ac:dyDescent="0.2">
      <c r="A244" s="7"/>
      <c r="B244" s="8"/>
    </row>
    <row r="245" spans="1:2" ht="25" customHeight="1" x14ac:dyDescent="0.2">
      <c r="A245" s="7"/>
      <c r="B245" s="8"/>
    </row>
    <row r="246" spans="1:2" ht="25" customHeight="1" x14ac:dyDescent="0.2">
      <c r="A246" s="7"/>
      <c r="B246" s="8"/>
    </row>
    <row r="247" spans="1:2" ht="25" customHeight="1" x14ac:dyDescent="0.2">
      <c r="A247" s="7"/>
      <c r="B247" s="8"/>
    </row>
    <row r="248" spans="1:2" ht="25" customHeight="1" x14ac:dyDescent="0.2">
      <c r="A248" s="7"/>
      <c r="B248" s="8"/>
    </row>
    <row r="249" spans="1:2" ht="25" customHeight="1" x14ac:dyDescent="0.2">
      <c r="A249" s="7"/>
      <c r="B249" s="8"/>
    </row>
    <row r="250" spans="1:2" ht="25" customHeight="1" x14ac:dyDescent="0.2">
      <c r="A250" s="7"/>
      <c r="B250" s="8"/>
    </row>
    <row r="251" spans="1:2" ht="25" customHeight="1" x14ac:dyDescent="0.2">
      <c r="A251" s="7"/>
      <c r="B251" s="8"/>
    </row>
    <row r="252" spans="1:2" ht="25" customHeight="1" x14ac:dyDescent="0.2">
      <c r="A252" s="7"/>
      <c r="B252" s="8"/>
    </row>
    <row r="253" spans="1:2" ht="25" customHeight="1" x14ac:dyDescent="0.2">
      <c r="A253" s="7"/>
      <c r="B253" s="8"/>
    </row>
    <row r="254" spans="1:2" ht="25" customHeight="1" x14ac:dyDescent="0.2">
      <c r="A254" s="7"/>
      <c r="B254" s="8"/>
    </row>
    <row r="255" spans="1:2" ht="25" customHeight="1" x14ac:dyDescent="0.2">
      <c r="A255" s="7"/>
      <c r="B255" s="8"/>
    </row>
    <row r="256" spans="1:2" ht="25" customHeight="1" x14ac:dyDescent="0.2">
      <c r="A256" s="7"/>
      <c r="B256" s="8"/>
    </row>
    <row r="257" spans="1:2" ht="25" customHeight="1" x14ac:dyDescent="0.2">
      <c r="A257" s="7"/>
      <c r="B257" s="8"/>
    </row>
    <row r="258" spans="1:2" ht="25" customHeight="1" x14ac:dyDescent="0.2">
      <c r="A258" s="7"/>
      <c r="B258" s="8"/>
    </row>
    <row r="259" spans="1:2" ht="25" customHeight="1" x14ac:dyDescent="0.2">
      <c r="A259" s="7"/>
      <c r="B259" s="8"/>
    </row>
    <row r="260" spans="1:2" ht="25" customHeight="1" x14ac:dyDescent="0.2">
      <c r="A260" s="7"/>
      <c r="B260" s="8"/>
    </row>
    <row r="261" spans="1:2" ht="25" customHeight="1" x14ac:dyDescent="0.2">
      <c r="A261" s="7"/>
      <c r="B261" s="8"/>
    </row>
    <row r="262" spans="1:2" ht="25" customHeight="1" x14ac:dyDescent="0.2">
      <c r="A262" s="7"/>
      <c r="B262" s="8"/>
    </row>
    <row r="263" spans="1:2" ht="25" customHeight="1" x14ac:dyDescent="0.2">
      <c r="A263" s="7"/>
      <c r="B263" s="8"/>
    </row>
    <row r="264" spans="1:2" ht="25" customHeight="1" x14ac:dyDescent="0.2">
      <c r="A264" s="7"/>
      <c r="B264" s="8"/>
    </row>
    <row r="265" spans="1:2" ht="25" customHeight="1" x14ac:dyDescent="0.2">
      <c r="A265" s="7"/>
      <c r="B265" s="8"/>
    </row>
    <row r="266" spans="1:2" ht="25" customHeight="1" x14ac:dyDescent="0.2">
      <c r="A266" s="7"/>
      <c r="B266" s="8"/>
    </row>
    <row r="267" spans="1:2" ht="25" customHeight="1" x14ac:dyDescent="0.2">
      <c r="A267" s="7"/>
      <c r="B267" s="8"/>
    </row>
    <row r="268" spans="1:2" ht="25" customHeight="1" x14ac:dyDescent="0.2">
      <c r="A268" s="7"/>
      <c r="B268" s="8"/>
    </row>
    <row r="269" spans="1:2" ht="25" customHeight="1" x14ac:dyDescent="0.2">
      <c r="A269" s="7"/>
      <c r="B269" s="8"/>
    </row>
    <row r="270" spans="1:2" ht="25" customHeight="1" x14ac:dyDescent="0.2">
      <c r="A270" s="7"/>
      <c r="B270" s="8"/>
    </row>
    <row r="271" spans="1:2" ht="25" customHeight="1" x14ac:dyDescent="0.2">
      <c r="A271" s="7"/>
      <c r="B271" s="8"/>
    </row>
    <row r="272" spans="1:2" ht="25" customHeight="1" x14ac:dyDescent="0.2">
      <c r="A272" s="7"/>
      <c r="B272" s="8"/>
    </row>
    <row r="273" spans="1:2" ht="25" customHeight="1" x14ac:dyDescent="0.2">
      <c r="A273" s="7"/>
      <c r="B273" s="8"/>
    </row>
    <row r="274" spans="1:2" ht="25" customHeight="1" x14ac:dyDescent="0.2">
      <c r="A274" s="7"/>
      <c r="B274" s="8"/>
    </row>
    <row r="275" spans="1:2" ht="25" customHeight="1" x14ac:dyDescent="0.2">
      <c r="A275" s="7"/>
      <c r="B275" s="8"/>
    </row>
    <row r="276" spans="1:2" ht="25" customHeight="1" x14ac:dyDescent="0.2">
      <c r="A276" s="7"/>
      <c r="B276" s="8"/>
    </row>
    <row r="277" spans="1:2" ht="25" customHeight="1" x14ac:dyDescent="0.2">
      <c r="A277" s="7"/>
      <c r="B277" s="8"/>
    </row>
    <row r="278" spans="1:2" ht="25" customHeight="1" x14ac:dyDescent="0.2">
      <c r="A278" s="7"/>
      <c r="B278" s="8"/>
    </row>
    <row r="279" spans="1:2" ht="25" customHeight="1" x14ac:dyDescent="0.2">
      <c r="A279" s="7"/>
      <c r="B279" s="8"/>
    </row>
    <row r="280" spans="1:2" ht="25" customHeight="1" x14ac:dyDescent="0.2">
      <c r="A280" s="7"/>
      <c r="B280" s="8"/>
    </row>
    <row r="281" spans="1:2" ht="25" customHeight="1" x14ac:dyDescent="0.2">
      <c r="A281" s="7"/>
      <c r="B281" s="8"/>
    </row>
    <row r="282" spans="1:2" ht="25" customHeight="1" x14ac:dyDescent="0.2">
      <c r="A282" s="7"/>
      <c r="B282" s="8"/>
    </row>
    <row r="283" spans="1:2" ht="25" customHeight="1" x14ac:dyDescent="0.2">
      <c r="A283" s="7"/>
      <c r="B283" s="8"/>
    </row>
    <row r="284" spans="1:2" ht="25" customHeight="1" x14ac:dyDescent="0.2">
      <c r="A284" s="7"/>
      <c r="B284" s="8"/>
    </row>
    <row r="285" spans="1:2" ht="25" customHeight="1" x14ac:dyDescent="0.2">
      <c r="A285" s="7"/>
      <c r="B285" s="8"/>
    </row>
    <row r="286" spans="1:2" ht="25" customHeight="1" x14ac:dyDescent="0.2">
      <c r="A286" s="7"/>
      <c r="B286" s="8"/>
    </row>
    <row r="287" spans="1:2" ht="25" customHeight="1" x14ac:dyDescent="0.2">
      <c r="A287" s="7"/>
      <c r="B287" s="8"/>
    </row>
    <row r="288" spans="1:2" ht="25" customHeight="1" x14ac:dyDescent="0.2">
      <c r="A288" s="7"/>
      <c r="B288" s="8"/>
    </row>
    <row r="289" spans="1:2" ht="25" customHeight="1" x14ac:dyDescent="0.2">
      <c r="A289" s="7"/>
      <c r="B289" s="8"/>
    </row>
    <row r="290" spans="1:2" ht="25" customHeight="1" x14ac:dyDescent="0.2">
      <c r="A290" s="7"/>
      <c r="B290" s="8"/>
    </row>
    <row r="291" spans="1:2" ht="25" customHeight="1" x14ac:dyDescent="0.2">
      <c r="A291" s="7"/>
      <c r="B291" s="8"/>
    </row>
    <row r="292" spans="1:2" ht="25" customHeight="1" x14ac:dyDescent="0.2">
      <c r="A292" s="7"/>
      <c r="B292" s="8"/>
    </row>
    <row r="293" spans="1:2" ht="25" customHeight="1" x14ac:dyDescent="0.2">
      <c r="A293" s="7"/>
      <c r="B293" s="8"/>
    </row>
    <row r="294" spans="1:2" ht="25" customHeight="1" x14ac:dyDescent="0.2">
      <c r="A294" s="7"/>
      <c r="B294" s="8"/>
    </row>
    <row r="295" spans="1:2" ht="25" customHeight="1" x14ac:dyDescent="0.2">
      <c r="A295" s="7"/>
      <c r="B295" s="8"/>
    </row>
    <row r="296" spans="1:2" ht="25" customHeight="1" x14ac:dyDescent="0.2">
      <c r="A296" s="7"/>
      <c r="B296" s="8"/>
    </row>
    <row r="297" spans="1:2" ht="25" customHeight="1" x14ac:dyDescent="0.2">
      <c r="A297" s="7"/>
      <c r="B297" s="8"/>
    </row>
    <row r="298" spans="1:2" ht="25" customHeight="1" x14ac:dyDescent="0.2">
      <c r="A298" s="7"/>
      <c r="B298" s="8"/>
    </row>
    <row r="299" spans="1:2" ht="25" customHeight="1" x14ac:dyDescent="0.2">
      <c r="A299" s="7"/>
      <c r="B299" s="8"/>
    </row>
    <row r="300" spans="1:2" ht="25" customHeight="1" x14ac:dyDescent="0.2">
      <c r="A300" s="7"/>
      <c r="B300" s="8"/>
    </row>
    <row r="301" spans="1:2" ht="25" customHeight="1" x14ac:dyDescent="0.2">
      <c r="A301" s="7"/>
      <c r="B301" s="8"/>
    </row>
    <row r="302" spans="1:2" ht="25" customHeight="1" x14ac:dyDescent="0.2">
      <c r="A302" s="7"/>
      <c r="B302" s="8"/>
    </row>
    <row r="303" spans="1:2" ht="25" customHeight="1" x14ac:dyDescent="0.2">
      <c r="A303" s="7"/>
      <c r="B303" s="8"/>
    </row>
    <row r="304" spans="1:2" ht="25" customHeight="1" x14ac:dyDescent="0.2">
      <c r="A304" s="7"/>
      <c r="B304" s="8"/>
    </row>
    <row r="305" spans="1:2" ht="25" customHeight="1" x14ac:dyDescent="0.2">
      <c r="A305" s="7"/>
      <c r="B305" s="8"/>
    </row>
    <row r="306" spans="1:2" ht="25" customHeight="1" x14ac:dyDescent="0.2">
      <c r="A306" s="7"/>
      <c r="B306" s="8"/>
    </row>
    <row r="307" spans="1:2" ht="25" customHeight="1" x14ac:dyDescent="0.2">
      <c r="A307" s="7"/>
      <c r="B307" s="8"/>
    </row>
    <row r="308" spans="1:2" ht="25" customHeight="1" x14ac:dyDescent="0.2">
      <c r="A308" s="7"/>
      <c r="B308" s="8"/>
    </row>
    <row r="309" spans="1:2" ht="25" customHeight="1" x14ac:dyDescent="0.2">
      <c r="A309" s="7"/>
      <c r="B309" s="8"/>
    </row>
    <row r="310" spans="1:2" ht="25" customHeight="1" x14ac:dyDescent="0.2">
      <c r="A310" s="7"/>
      <c r="B310" s="8"/>
    </row>
    <row r="311" spans="1:2" ht="25" customHeight="1" x14ac:dyDescent="0.2">
      <c r="A311" s="7"/>
      <c r="B311" s="8"/>
    </row>
    <row r="312" spans="1:2" ht="25" customHeight="1" x14ac:dyDescent="0.2">
      <c r="A312" s="7"/>
      <c r="B312" s="8"/>
    </row>
    <row r="313" spans="1:2" ht="25" customHeight="1" x14ac:dyDescent="0.2">
      <c r="A313" s="7"/>
      <c r="B313" s="8"/>
    </row>
    <row r="314" spans="1:2" ht="25" customHeight="1" x14ac:dyDescent="0.2">
      <c r="A314" s="7"/>
      <c r="B314" s="8"/>
    </row>
    <row r="315" spans="1:2" ht="25" customHeight="1" x14ac:dyDescent="0.2">
      <c r="A315" s="7"/>
      <c r="B315" s="8"/>
    </row>
    <row r="316" spans="1:2" ht="25" customHeight="1" x14ac:dyDescent="0.2">
      <c r="A316" s="7"/>
      <c r="B316" s="8"/>
    </row>
    <row r="317" spans="1:2" ht="25" customHeight="1" x14ac:dyDescent="0.2">
      <c r="A317" s="7"/>
      <c r="B317" s="8"/>
    </row>
    <row r="318" spans="1:2" ht="25" customHeight="1" x14ac:dyDescent="0.2">
      <c r="A318" s="7"/>
      <c r="B318" s="8"/>
    </row>
    <row r="319" spans="1:2" ht="25" customHeight="1" x14ac:dyDescent="0.2">
      <c r="A319" s="7"/>
      <c r="B319" s="8"/>
    </row>
    <row r="320" spans="1:2" ht="25" customHeight="1" x14ac:dyDescent="0.2">
      <c r="A320" s="7"/>
      <c r="B320" s="8"/>
    </row>
    <row r="321" spans="1:2" ht="25" customHeight="1" x14ac:dyDescent="0.2">
      <c r="A321" s="7"/>
      <c r="B321" s="8"/>
    </row>
    <row r="322" spans="1:2" ht="25" customHeight="1" x14ac:dyDescent="0.2">
      <c r="A322" s="7"/>
      <c r="B322" s="8"/>
    </row>
    <row r="323" spans="1:2" ht="25" customHeight="1" x14ac:dyDescent="0.2">
      <c r="A323" s="7"/>
      <c r="B323" s="8"/>
    </row>
    <row r="324" spans="1:2" ht="25" customHeight="1" x14ac:dyDescent="0.2">
      <c r="A324" s="7"/>
      <c r="B324" s="8"/>
    </row>
    <row r="325" spans="1:2" ht="25" customHeight="1" x14ac:dyDescent="0.2">
      <c r="A325" s="7"/>
      <c r="B325" s="8"/>
    </row>
    <row r="326" spans="1:2" ht="25" customHeight="1" x14ac:dyDescent="0.2">
      <c r="A326" s="7"/>
      <c r="B326" s="8"/>
    </row>
    <row r="327" spans="1:2" ht="25" customHeight="1" x14ac:dyDescent="0.2">
      <c r="A327" s="7"/>
      <c r="B327" s="8"/>
    </row>
    <row r="328" spans="1:2" ht="25" customHeight="1" x14ac:dyDescent="0.2">
      <c r="A328" s="7"/>
      <c r="B328" s="8"/>
    </row>
    <row r="329" spans="1:2" ht="25" customHeight="1" x14ac:dyDescent="0.2">
      <c r="A329" s="7"/>
      <c r="B329" s="8"/>
    </row>
    <row r="330" spans="1:2" ht="25" customHeight="1" x14ac:dyDescent="0.2">
      <c r="A330" s="7"/>
      <c r="B330" s="8"/>
    </row>
    <row r="331" spans="1:2" ht="25" customHeight="1" x14ac:dyDescent="0.2">
      <c r="A331" s="7"/>
      <c r="B331" s="8"/>
    </row>
    <row r="332" spans="1:2" ht="25" customHeight="1" x14ac:dyDescent="0.2">
      <c r="A332" s="7"/>
      <c r="B332" s="8"/>
    </row>
    <row r="333" spans="1:2" ht="25" customHeight="1" x14ac:dyDescent="0.2">
      <c r="A333" s="7"/>
      <c r="B333" s="8"/>
    </row>
    <row r="334" spans="1:2" ht="25" customHeight="1" x14ac:dyDescent="0.2">
      <c r="A334" s="7"/>
      <c r="B334" s="8"/>
    </row>
    <row r="335" spans="1:2" ht="25" customHeight="1" x14ac:dyDescent="0.2">
      <c r="A335" s="7"/>
      <c r="B335" s="8"/>
    </row>
    <row r="336" spans="1:2" ht="25" customHeight="1" x14ac:dyDescent="0.2">
      <c r="A336" s="7"/>
      <c r="B336" s="8"/>
    </row>
    <row r="337" spans="1:2" ht="25" customHeight="1" x14ac:dyDescent="0.2">
      <c r="A337" s="7"/>
      <c r="B337" s="8"/>
    </row>
    <row r="338" spans="1:2" ht="25" customHeight="1" x14ac:dyDescent="0.2">
      <c r="A338" s="7"/>
      <c r="B338" s="8"/>
    </row>
    <row r="339" spans="1:2" ht="25" customHeight="1" x14ac:dyDescent="0.2">
      <c r="A339" s="7"/>
      <c r="B339" s="8"/>
    </row>
    <row r="340" spans="1:2" ht="25" customHeight="1" x14ac:dyDescent="0.2">
      <c r="A340" s="7"/>
      <c r="B340" s="8"/>
    </row>
    <row r="341" spans="1:2" ht="25" customHeight="1" x14ac:dyDescent="0.2">
      <c r="A341" s="7"/>
      <c r="B341" s="8"/>
    </row>
    <row r="342" spans="1:2" ht="25" customHeight="1" x14ac:dyDescent="0.2">
      <c r="A342" s="7"/>
      <c r="B342" s="8"/>
    </row>
    <row r="343" spans="1:2" ht="25" customHeight="1" x14ac:dyDescent="0.2">
      <c r="A343" s="7"/>
      <c r="B343" s="8"/>
    </row>
    <row r="344" spans="1:2" ht="25" customHeight="1" x14ac:dyDescent="0.2">
      <c r="A344" s="7"/>
      <c r="B344" s="8"/>
    </row>
    <row r="345" spans="1:2" ht="25" customHeight="1" x14ac:dyDescent="0.2">
      <c r="A345" s="7"/>
      <c r="B345" s="8"/>
    </row>
    <row r="346" spans="1:2" ht="25" customHeight="1" x14ac:dyDescent="0.2">
      <c r="A346" s="7"/>
      <c r="B346" s="8"/>
    </row>
    <row r="347" spans="1:2" ht="25" customHeight="1" x14ac:dyDescent="0.2">
      <c r="A347" s="7"/>
      <c r="B347" s="8"/>
    </row>
    <row r="348" spans="1:2" ht="25" customHeight="1" x14ac:dyDescent="0.2">
      <c r="A348" s="7"/>
      <c r="B348" s="8"/>
    </row>
    <row r="349" spans="1:2" ht="25" customHeight="1" x14ac:dyDescent="0.2">
      <c r="A349" s="7"/>
      <c r="B349" s="8"/>
    </row>
    <row r="350" spans="1:2" ht="25" customHeight="1" x14ac:dyDescent="0.2">
      <c r="A350" s="7"/>
      <c r="B350" s="8"/>
    </row>
    <row r="351" spans="1:2" ht="25" customHeight="1" x14ac:dyDescent="0.2">
      <c r="A351" s="7"/>
      <c r="B351" s="8"/>
    </row>
    <row r="352" spans="1:2" ht="25" customHeight="1" x14ac:dyDescent="0.2">
      <c r="A352" s="7"/>
      <c r="B352" s="8"/>
    </row>
    <row r="353" spans="1:2" ht="25" customHeight="1" x14ac:dyDescent="0.2">
      <c r="A353" s="7"/>
      <c r="B353" s="8"/>
    </row>
    <row r="354" spans="1:2" ht="25" customHeight="1" x14ac:dyDescent="0.2">
      <c r="A354" s="7"/>
      <c r="B354" s="8"/>
    </row>
    <row r="355" spans="1:2" ht="25" customHeight="1" x14ac:dyDescent="0.2">
      <c r="A355" s="7"/>
      <c r="B355" s="8"/>
    </row>
    <row r="356" spans="1:2" ht="25" customHeight="1" x14ac:dyDescent="0.2">
      <c r="A356" s="7"/>
      <c r="B356" s="8"/>
    </row>
    <row r="357" spans="1:2" ht="25" customHeight="1" x14ac:dyDescent="0.2">
      <c r="A357" s="7"/>
      <c r="B357" s="8"/>
    </row>
    <row r="358" spans="1:2" ht="25" customHeight="1" x14ac:dyDescent="0.2">
      <c r="A358" s="7"/>
      <c r="B358" s="8"/>
    </row>
    <row r="359" spans="1:2" ht="25" customHeight="1" x14ac:dyDescent="0.2">
      <c r="A359" s="7"/>
      <c r="B359" s="8"/>
    </row>
    <row r="360" spans="1:2" ht="25" customHeight="1" x14ac:dyDescent="0.2">
      <c r="A360" s="7"/>
      <c r="B360" s="8"/>
    </row>
    <row r="361" spans="1:2" ht="25" customHeight="1" x14ac:dyDescent="0.2">
      <c r="A361" s="7"/>
      <c r="B361" s="8"/>
    </row>
    <row r="362" spans="1:2" ht="25" customHeight="1" x14ac:dyDescent="0.2">
      <c r="A362" s="7"/>
      <c r="B362" s="8"/>
    </row>
    <row r="363" spans="1:2" ht="25" customHeight="1" x14ac:dyDescent="0.2">
      <c r="A363" s="7"/>
      <c r="B363" s="8"/>
    </row>
    <row r="364" spans="1:2" ht="25" customHeight="1" x14ac:dyDescent="0.2">
      <c r="A364" s="7"/>
      <c r="B364" s="8"/>
    </row>
    <row r="365" spans="1:2" ht="25" customHeight="1" x14ac:dyDescent="0.2">
      <c r="A365" s="7"/>
      <c r="B365" s="8"/>
    </row>
    <row r="366" spans="1:2" ht="25" customHeight="1" x14ac:dyDescent="0.2">
      <c r="A366" s="7"/>
      <c r="B366" s="8"/>
    </row>
    <row r="367" spans="1:2" ht="25" customHeight="1" x14ac:dyDescent="0.2">
      <c r="A367" s="7"/>
      <c r="B367" s="8"/>
    </row>
    <row r="368" spans="1:2" ht="25" customHeight="1" x14ac:dyDescent="0.2">
      <c r="A368" s="7"/>
      <c r="B368" s="8"/>
    </row>
    <row r="369" spans="1:2" ht="25" customHeight="1" x14ac:dyDescent="0.2">
      <c r="A369" s="7"/>
      <c r="B369" s="8"/>
    </row>
    <row r="370" spans="1:2" ht="25" customHeight="1" x14ac:dyDescent="0.2">
      <c r="A370" s="7"/>
      <c r="B370" s="8"/>
    </row>
    <row r="371" spans="1:2" ht="25" customHeight="1" x14ac:dyDescent="0.2">
      <c r="A371" s="7"/>
      <c r="B371" s="8"/>
    </row>
    <row r="372" spans="1:2" ht="25" customHeight="1" x14ac:dyDescent="0.2">
      <c r="A372" s="7"/>
      <c r="B372" s="8"/>
    </row>
    <row r="373" spans="1:2" ht="25" customHeight="1" x14ac:dyDescent="0.2">
      <c r="A373" s="7"/>
      <c r="B373" s="8"/>
    </row>
    <row r="374" spans="1:2" ht="25" customHeight="1" x14ac:dyDescent="0.2">
      <c r="A374" s="7"/>
      <c r="B374" s="8"/>
    </row>
    <row r="375" spans="1:2" ht="25" customHeight="1" x14ac:dyDescent="0.2">
      <c r="A375" s="7"/>
      <c r="B375" s="8"/>
    </row>
    <row r="376" spans="1:2" ht="25" customHeight="1" x14ac:dyDescent="0.2">
      <c r="A376" s="7"/>
      <c r="B376" s="8"/>
    </row>
    <row r="377" spans="1:2" ht="25" customHeight="1" x14ac:dyDescent="0.2">
      <c r="A377" s="7"/>
      <c r="B377" s="8"/>
    </row>
    <row r="378" spans="1:2" ht="25" customHeight="1" x14ac:dyDescent="0.2">
      <c r="A378" s="7"/>
      <c r="B378" s="8"/>
    </row>
    <row r="379" spans="1:2" ht="25" customHeight="1" x14ac:dyDescent="0.2">
      <c r="A379" s="7"/>
      <c r="B379" s="8"/>
    </row>
    <row r="380" spans="1:2" ht="25" customHeight="1" x14ac:dyDescent="0.2">
      <c r="A380" s="7"/>
      <c r="B380" s="8"/>
    </row>
    <row r="381" spans="1:2" ht="25" customHeight="1" x14ac:dyDescent="0.2">
      <c r="A381" s="7"/>
      <c r="B381" s="8"/>
    </row>
    <row r="382" spans="1:2" ht="25" customHeight="1" x14ac:dyDescent="0.2">
      <c r="A382" s="7"/>
      <c r="B382" s="8"/>
    </row>
    <row r="383" spans="1:2" ht="25" customHeight="1" x14ac:dyDescent="0.2">
      <c r="A383" s="7"/>
      <c r="B383" s="8"/>
    </row>
    <row r="384" spans="1:2" ht="25" customHeight="1" x14ac:dyDescent="0.2">
      <c r="A384" s="7"/>
      <c r="B384" s="8"/>
    </row>
    <row r="385" spans="1:2" ht="25" customHeight="1" x14ac:dyDescent="0.2">
      <c r="A385" s="7"/>
      <c r="B385" s="8"/>
    </row>
    <row r="386" spans="1:2" ht="25" customHeight="1" x14ac:dyDescent="0.2">
      <c r="A386" s="7"/>
      <c r="B386" s="8"/>
    </row>
    <row r="387" spans="1:2" ht="25" customHeight="1" x14ac:dyDescent="0.2">
      <c r="A387" s="7"/>
      <c r="B387" s="8"/>
    </row>
    <row r="388" spans="1:2" ht="25" customHeight="1" x14ac:dyDescent="0.2">
      <c r="A388" s="7"/>
      <c r="B388" s="8"/>
    </row>
    <row r="389" spans="1:2" ht="25" customHeight="1" x14ac:dyDescent="0.2">
      <c r="A389" s="7"/>
      <c r="B389" s="8"/>
    </row>
    <row r="390" spans="1:2" ht="25" customHeight="1" x14ac:dyDescent="0.2">
      <c r="A390" s="7"/>
      <c r="B390" s="8"/>
    </row>
    <row r="391" spans="1:2" ht="25" customHeight="1" x14ac:dyDescent="0.2">
      <c r="A391" s="7"/>
      <c r="B391" s="8"/>
    </row>
    <row r="392" spans="1:2" ht="25" customHeight="1" x14ac:dyDescent="0.2">
      <c r="A392" s="7"/>
      <c r="B392" s="8"/>
    </row>
    <row r="393" spans="1:2" ht="25" customHeight="1" x14ac:dyDescent="0.2">
      <c r="A393" s="7"/>
      <c r="B393" s="8"/>
    </row>
    <row r="394" spans="1:2" ht="25" customHeight="1" x14ac:dyDescent="0.2">
      <c r="A394" s="7"/>
      <c r="B394" s="8"/>
    </row>
    <row r="395" spans="1:2" ht="25" customHeight="1" x14ac:dyDescent="0.2">
      <c r="A395" s="7"/>
      <c r="B395" s="8"/>
    </row>
    <row r="396" spans="1:2" ht="25" customHeight="1" x14ac:dyDescent="0.2">
      <c r="A396" s="7"/>
      <c r="B396" s="8"/>
    </row>
    <row r="397" spans="1:2" ht="25" customHeight="1" x14ac:dyDescent="0.2">
      <c r="A397" s="7"/>
      <c r="B397" s="8"/>
    </row>
    <row r="398" spans="1:2" ht="25" customHeight="1" x14ac:dyDescent="0.2">
      <c r="A398" s="7"/>
      <c r="B398" s="8"/>
    </row>
    <row r="399" spans="1:2" ht="25" customHeight="1" x14ac:dyDescent="0.2">
      <c r="A399" s="7"/>
      <c r="B399" s="8"/>
    </row>
    <row r="400" spans="1:2" ht="25" customHeight="1" x14ac:dyDescent="0.2">
      <c r="A400" s="7"/>
      <c r="B400" s="8"/>
    </row>
    <row r="401" spans="1:2" ht="25" customHeight="1" x14ac:dyDescent="0.2">
      <c r="A401" s="7"/>
      <c r="B401" s="8"/>
    </row>
    <row r="402" spans="1:2" ht="25" customHeight="1" x14ac:dyDescent="0.2">
      <c r="A402" s="7"/>
      <c r="B402" s="8"/>
    </row>
    <row r="403" spans="1:2" ht="25" customHeight="1" x14ac:dyDescent="0.2">
      <c r="A403" s="7"/>
      <c r="B403" s="8"/>
    </row>
    <row r="404" spans="1:2" ht="25" customHeight="1" x14ac:dyDescent="0.2">
      <c r="A404" s="7"/>
      <c r="B404" s="8"/>
    </row>
    <row r="405" spans="1:2" ht="25" customHeight="1" x14ac:dyDescent="0.2">
      <c r="A405" s="7"/>
      <c r="B405" s="8"/>
    </row>
    <row r="406" spans="1:2" ht="25" customHeight="1" x14ac:dyDescent="0.2">
      <c r="A406" s="7"/>
      <c r="B406" s="8"/>
    </row>
    <row r="407" spans="1:2" ht="25" customHeight="1" x14ac:dyDescent="0.2">
      <c r="A407" s="7"/>
      <c r="B407" s="8"/>
    </row>
    <row r="408" spans="1:2" ht="25" customHeight="1" x14ac:dyDescent="0.2">
      <c r="A408" s="7"/>
      <c r="B408" s="8"/>
    </row>
    <row r="409" spans="1:2" ht="25" customHeight="1" x14ac:dyDescent="0.2">
      <c r="A409" s="7"/>
      <c r="B409" s="8"/>
    </row>
    <row r="410" spans="1:2" ht="25" customHeight="1" x14ac:dyDescent="0.2">
      <c r="A410" s="7"/>
      <c r="B410" s="8"/>
    </row>
    <row r="411" spans="1:2" ht="25" customHeight="1" x14ac:dyDescent="0.2">
      <c r="A411" s="7"/>
      <c r="B411" s="8"/>
    </row>
    <row r="412" spans="1:2" ht="25" customHeight="1" x14ac:dyDescent="0.2">
      <c r="A412" s="7"/>
      <c r="B412" s="8"/>
    </row>
    <row r="413" spans="1:2" ht="25" customHeight="1" x14ac:dyDescent="0.2">
      <c r="A413" s="7"/>
      <c r="B413" s="8"/>
    </row>
    <row r="414" spans="1:2" ht="25" customHeight="1" x14ac:dyDescent="0.2">
      <c r="A414" s="7"/>
      <c r="B414" s="8"/>
    </row>
    <row r="415" spans="1:2" ht="25" customHeight="1" x14ac:dyDescent="0.2">
      <c r="A415" s="7"/>
      <c r="B415" s="8"/>
    </row>
    <row r="416" spans="1:2" ht="25" customHeight="1" x14ac:dyDescent="0.2">
      <c r="A416" s="7"/>
      <c r="B416" s="8"/>
    </row>
    <row r="417" spans="1:2" ht="25" customHeight="1" x14ac:dyDescent="0.2">
      <c r="A417" s="7"/>
      <c r="B417" s="8"/>
    </row>
    <row r="418" spans="1:2" ht="25" customHeight="1" x14ac:dyDescent="0.2">
      <c r="A418" s="7"/>
      <c r="B418" s="8"/>
    </row>
    <row r="419" spans="1:2" ht="25" customHeight="1" x14ac:dyDescent="0.2">
      <c r="A419" s="7"/>
      <c r="B419" s="8"/>
    </row>
    <row r="420" spans="1:2" ht="25" customHeight="1" x14ac:dyDescent="0.2">
      <c r="A420" s="7"/>
      <c r="B420" s="8"/>
    </row>
    <row r="421" spans="1:2" ht="25" customHeight="1" x14ac:dyDescent="0.2">
      <c r="A421" s="7"/>
      <c r="B421" s="8"/>
    </row>
    <row r="422" spans="1:2" ht="25" customHeight="1" x14ac:dyDescent="0.2">
      <c r="A422" s="7"/>
      <c r="B422" s="8"/>
    </row>
    <row r="423" spans="1:2" ht="25" customHeight="1" x14ac:dyDescent="0.2">
      <c r="A423" s="7"/>
      <c r="B423" s="8"/>
    </row>
    <row r="424" spans="1:2" ht="25" customHeight="1" x14ac:dyDescent="0.2">
      <c r="A424" s="7"/>
      <c r="B424" s="8"/>
    </row>
    <row r="425" spans="1:2" ht="25" customHeight="1" x14ac:dyDescent="0.2">
      <c r="A425" s="7"/>
      <c r="B425" s="8"/>
    </row>
    <row r="426" spans="1:2" ht="25" customHeight="1" x14ac:dyDescent="0.2">
      <c r="A426" s="7"/>
      <c r="B426" s="8"/>
    </row>
    <row r="427" spans="1:2" ht="25" customHeight="1" x14ac:dyDescent="0.2">
      <c r="A427" s="7"/>
      <c r="B427" s="8"/>
    </row>
    <row r="428" spans="1:2" ht="25" customHeight="1" x14ac:dyDescent="0.2">
      <c r="A428" s="7"/>
      <c r="B428" s="8"/>
    </row>
    <row r="429" spans="1:2" ht="25" customHeight="1" x14ac:dyDescent="0.2">
      <c r="A429" s="7"/>
      <c r="B429" s="8"/>
    </row>
    <row r="430" spans="1:2" ht="25" customHeight="1" x14ac:dyDescent="0.2">
      <c r="A430" s="7"/>
      <c r="B430" s="8"/>
    </row>
    <row r="431" spans="1:2" ht="25" customHeight="1" x14ac:dyDescent="0.2">
      <c r="A431" s="7"/>
      <c r="B431" s="8"/>
    </row>
    <row r="432" spans="1:2" ht="25" customHeight="1" x14ac:dyDescent="0.2">
      <c r="A432" s="7"/>
      <c r="B432" s="8"/>
    </row>
    <row r="433" spans="1:2" ht="25" customHeight="1" x14ac:dyDescent="0.2">
      <c r="A433" s="7"/>
      <c r="B433" s="8"/>
    </row>
    <row r="434" spans="1:2" ht="25" customHeight="1" x14ac:dyDescent="0.2">
      <c r="A434" s="7"/>
      <c r="B434" s="8"/>
    </row>
    <row r="435" spans="1:2" ht="25" customHeight="1" x14ac:dyDescent="0.2">
      <c r="A435" s="7"/>
      <c r="B435" s="8"/>
    </row>
    <row r="436" spans="1:2" ht="25" customHeight="1" x14ac:dyDescent="0.2">
      <c r="A436" s="7"/>
      <c r="B436" s="8"/>
    </row>
    <row r="437" spans="1:2" ht="25" customHeight="1" x14ac:dyDescent="0.2">
      <c r="A437" s="7"/>
      <c r="B437" s="8"/>
    </row>
    <row r="438" spans="1:2" ht="25" customHeight="1" x14ac:dyDescent="0.2">
      <c r="A438" s="7"/>
      <c r="B438" s="8"/>
    </row>
    <row r="439" spans="1:2" ht="25" customHeight="1" x14ac:dyDescent="0.2">
      <c r="A439" s="7"/>
      <c r="B439" s="8"/>
    </row>
    <row r="440" spans="1:2" ht="25" customHeight="1" x14ac:dyDescent="0.2">
      <c r="A440" s="7"/>
      <c r="B440" s="8"/>
    </row>
    <row r="441" spans="1:2" ht="25" customHeight="1" x14ac:dyDescent="0.2">
      <c r="A441" s="7"/>
      <c r="B441" s="8"/>
    </row>
    <row r="442" spans="1:2" ht="25" customHeight="1" x14ac:dyDescent="0.2">
      <c r="A442" s="7"/>
      <c r="B442" s="8"/>
    </row>
    <row r="443" spans="1:2" ht="25" customHeight="1" x14ac:dyDescent="0.2">
      <c r="A443" s="7"/>
      <c r="B443" s="8"/>
    </row>
    <row r="444" spans="1:2" ht="25" customHeight="1" x14ac:dyDescent="0.2">
      <c r="A444" s="7"/>
      <c r="B444" s="8"/>
    </row>
    <row r="445" spans="1:2" ht="25" customHeight="1" x14ac:dyDescent="0.2">
      <c r="A445" s="7"/>
      <c r="B445" s="8"/>
    </row>
    <row r="446" spans="1:2" ht="25" customHeight="1" x14ac:dyDescent="0.2">
      <c r="A446" s="7"/>
      <c r="B446" s="8"/>
    </row>
    <row r="447" spans="1:2" ht="25" customHeight="1" x14ac:dyDescent="0.2">
      <c r="A447" s="7"/>
      <c r="B447" s="8"/>
    </row>
    <row r="448" spans="1:2" ht="25" customHeight="1" x14ac:dyDescent="0.2">
      <c r="A448" s="7"/>
      <c r="B448" s="8"/>
    </row>
    <row r="449" spans="1:2" ht="25" customHeight="1" x14ac:dyDescent="0.2">
      <c r="A449" s="7"/>
      <c r="B449" s="8"/>
    </row>
    <row r="450" spans="1:2" ht="25" customHeight="1" x14ac:dyDescent="0.2">
      <c r="A450" s="7"/>
      <c r="B450" s="8"/>
    </row>
    <row r="451" spans="1:2" ht="25" customHeight="1" x14ac:dyDescent="0.2">
      <c r="A451" s="7"/>
      <c r="B451" s="8"/>
    </row>
    <row r="452" spans="1:2" ht="25" customHeight="1" x14ac:dyDescent="0.2">
      <c r="A452" s="7"/>
      <c r="B452" s="8"/>
    </row>
    <row r="453" spans="1:2" ht="25" customHeight="1" x14ac:dyDescent="0.2">
      <c r="A453" s="7"/>
      <c r="B453" s="8"/>
    </row>
    <row r="454" spans="1:2" ht="25" customHeight="1" x14ac:dyDescent="0.2">
      <c r="A454" s="7"/>
      <c r="B454" s="8"/>
    </row>
    <row r="455" spans="1:2" ht="25" customHeight="1" x14ac:dyDescent="0.2">
      <c r="A455" s="7"/>
      <c r="B455" s="8"/>
    </row>
    <row r="456" spans="1:2" ht="25" customHeight="1" x14ac:dyDescent="0.2">
      <c r="A456" s="7"/>
      <c r="B456" s="8"/>
    </row>
    <row r="457" spans="1:2" ht="25" customHeight="1" x14ac:dyDescent="0.2">
      <c r="A457" s="7"/>
      <c r="B457" s="8"/>
    </row>
    <row r="458" spans="1:2" ht="25" customHeight="1" x14ac:dyDescent="0.2">
      <c r="A458" s="7"/>
      <c r="B458" s="8"/>
    </row>
    <row r="459" spans="1:2" ht="25" customHeight="1" x14ac:dyDescent="0.2">
      <c r="A459" s="7"/>
      <c r="B459" s="8"/>
    </row>
    <row r="460" spans="1:2" ht="25" customHeight="1" x14ac:dyDescent="0.2">
      <c r="A460" s="7"/>
      <c r="B460" s="8"/>
    </row>
    <row r="461" spans="1:2" ht="25" customHeight="1" x14ac:dyDescent="0.2">
      <c r="A461" s="7"/>
      <c r="B461" s="8"/>
    </row>
    <row r="462" spans="1:2" ht="25" customHeight="1" x14ac:dyDescent="0.2">
      <c r="A462" s="7"/>
      <c r="B462" s="8"/>
    </row>
    <row r="463" spans="1:2" ht="25" customHeight="1" x14ac:dyDescent="0.2">
      <c r="A463" s="7"/>
      <c r="B463" s="8"/>
    </row>
    <row r="464" spans="1:2" ht="25" customHeight="1" x14ac:dyDescent="0.2">
      <c r="A464" s="7"/>
      <c r="B464" s="8"/>
    </row>
    <row r="465" spans="1:2" ht="25" customHeight="1" x14ac:dyDescent="0.2">
      <c r="A465" s="7"/>
      <c r="B465" s="8"/>
    </row>
    <row r="466" spans="1:2" ht="25" customHeight="1" x14ac:dyDescent="0.2">
      <c r="A466" s="7"/>
      <c r="B466" s="8"/>
    </row>
    <row r="467" spans="1:2" ht="25" customHeight="1" x14ac:dyDescent="0.2">
      <c r="A467" s="7"/>
      <c r="B467" s="8"/>
    </row>
    <row r="468" spans="1:2" ht="25" customHeight="1" x14ac:dyDescent="0.2">
      <c r="A468" s="7"/>
      <c r="B468" s="8"/>
    </row>
    <row r="469" spans="1:2" ht="25" customHeight="1" x14ac:dyDescent="0.2">
      <c r="A469" s="7"/>
      <c r="B469" s="8"/>
    </row>
    <row r="470" spans="1:2" ht="25" customHeight="1" x14ac:dyDescent="0.2">
      <c r="A470" s="7"/>
      <c r="B470" s="8"/>
    </row>
    <row r="471" spans="1:2" ht="25" customHeight="1" x14ac:dyDescent="0.2">
      <c r="A471" s="7"/>
      <c r="B471" s="8"/>
    </row>
    <row r="472" spans="1:2" ht="25" customHeight="1" x14ac:dyDescent="0.2">
      <c r="A472" s="7"/>
      <c r="B472" s="8"/>
    </row>
    <row r="473" spans="1:2" ht="25" customHeight="1" x14ac:dyDescent="0.2">
      <c r="A473" s="7"/>
      <c r="B473" s="8"/>
    </row>
    <row r="474" spans="1:2" ht="25" customHeight="1" x14ac:dyDescent="0.2">
      <c r="A474" s="7"/>
      <c r="B474" s="8"/>
    </row>
    <row r="475" spans="1:2" ht="25" customHeight="1" x14ac:dyDescent="0.2">
      <c r="A475" s="7"/>
      <c r="B475" s="8"/>
    </row>
    <row r="476" spans="1:2" ht="25" customHeight="1" x14ac:dyDescent="0.2">
      <c r="A476" s="7"/>
      <c r="B476" s="8"/>
    </row>
    <row r="477" spans="1:2" ht="25" customHeight="1" x14ac:dyDescent="0.2">
      <c r="A477" s="7"/>
      <c r="B477" s="8"/>
    </row>
    <row r="478" spans="1:2" ht="25" customHeight="1" x14ac:dyDescent="0.2">
      <c r="A478" s="7"/>
      <c r="B478" s="8"/>
    </row>
    <row r="479" spans="1:2" ht="25" customHeight="1" x14ac:dyDescent="0.2">
      <c r="A479" s="7"/>
      <c r="B479" s="8"/>
    </row>
    <row r="480" spans="1:2" ht="25" customHeight="1" x14ac:dyDescent="0.2">
      <c r="A480" s="7"/>
      <c r="B480" s="8"/>
    </row>
    <row r="481" spans="1:2" ht="25" customHeight="1" x14ac:dyDescent="0.2">
      <c r="A481" s="7"/>
      <c r="B481" s="8"/>
    </row>
    <row r="482" spans="1:2" ht="25" customHeight="1" x14ac:dyDescent="0.2">
      <c r="A482" s="7"/>
      <c r="B482" s="8"/>
    </row>
    <row r="483" spans="1:2" ht="25" customHeight="1" x14ac:dyDescent="0.2">
      <c r="A483" s="7"/>
      <c r="B483" s="8"/>
    </row>
    <row r="484" spans="1:2" ht="25" customHeight="1" x14ac:dyDescent="0.2">
      <c r="A484" s="7"/>
      <c r="B484" s="8"/>
    </row>
    <row r="485" spans="1:2" ht="25" customHeight="1" x14ac:dyDescent="0.2">
      <c r="A485" s="7"/>
      <c r="B485" s="8"/>
    </row>
    <row r="486" spans="1:2" ht="25" customHeight="1" x14ac:dyDescent="0.2">
      <c r="A486" s="7"/>
      <c r="B486" s="8"/>
    </row>
    <row r="487" spans="1:2" ht="25" customHeight="1" x14ac:dyDescent="0.2">
      <c r="A487" s="7"/>
      <c r="B487" s="8"/>
    </row>
    <row r="488" spans="1:2" ht="25" customHeight="1" x14ac:dyDescent="0.2">
      <c r="A488" s="7"/>
      <c r="B488" s="8"/>
    </row>
    <row r="489" spans="1:2" ht="25" customHeight="1" x14ac:dyDescent="0.2">
      <c r="A489" s="7"/>
      <c r="B489" s="8"/>
    </row>
    <row r="490" spans="1:2" ht="25" customHeight="1" x14ac:dyDescent="0.2">
      <c r="A490" s="7"/>
      <c r="B490" s="8"/>
    </row>
    <row r="491" spans="1:2" ht="25" customHeight="1" x14ac:dyDescent="0.2">
      <c r="A491" s="7"/>
      <c r="B491" s="8"/>
    </row>
    <row r="492" spans="1:2" ht="25" customHeight="1" x14ac:dyDescent="0.2">
      <c r="A492" s="7"/>
      <c r="B492" s="8"/>
    </row>
    <row r="493" spans="1:2" ht="25" customHeight="1" x14ac:dyDescent="0.2">
      <c r="A493" s="7"/>
      <c r="B493" s="8"/>
    </row>
    <row r="494" spans="1:2" ht="25" customHeight="1" x14ac:dyDescent="0.2">
      <c r="A494" s="7"/>
      <c r="B494" s="8"/>
    </row>
    <row r="495" spans="1:2" ht="25" customHeight="1" x14ac:dyDescent="0.2">
      <c r="A495" s="7"/>
      <c r="B495" s="8"/>
    </row>
    <row r="496" spans="1:2" ht="25" customHeight="1" x14ac:dyDescent="0.2">
      <c r="A496" s="7"/>
      <c r="B496" s="8"/>
    </row>
    <row r="497" spans="1:2" ht="25" customHeight="1" x14ac:dyDescent="0.2">
      <c r="A497" s="7"/>
      <c r="B497" s="8"/>
    </row>
    <row r="498" spans="1:2" ht="25" customHeight="1" x14ac:dyDescent="0.2">
      <c r="A498" s="7"/>
      <c r="B498" s="8"/>
    </row>
    <row r="499" spans="1:2" ht="25" customHeight="1" x14ac:dyDescent="0.2">
      <c r="A499" s="7"/>
      <c r="B499" s="8"/>
    </row>
    <row r="500" spans="1:2" ht="25" customHeight="1" x14ac:dyDescent="0.2">
      <c r="A500" s="7"/>
      <c r="B500" s="8"/>
    </row>
    <row r="501" spans="1:2" ht="25" customHeight="1" x14ac:dyDescent="0.2">
      <c r="A501" s="7"/>
      <c r="B501" s="8"/>
    </row>
    <row r="502" spans="1:2" ht="25" customHeight="1" x14ac:dyDescent="0.2">
      <c r="A502" s="7"/>
      <c r="B502" s="8"/>
    </row>
    <row r="503" spans="1:2" ht="25" customHeight="1" x14ac:dyDescent="0.2">
      <c r="A503" s="7"/>
      <c r="B503" s="8"/>
    </row>
    <row r="504" spans="1:2" ht="25" customHeight="1" x14ac:dyDescent="0.2">
      <c r="A504" s="7"/>
      <c r="B504" s="8"/>
    </row>
    <row r="505" spans="1:2" ht="25" customHeight="1" x14ac:dyDescent="0.2">
      <c r="A505" s="7"/>
      <c r="B505" s="8"/>
    </row>
    <row r="506" spans="1:2" ht="25" customHeight="1" x14ac:dyDescent="0.2">
      <c r="A506" s="7"/>
      <c r="B506" s="8"/>
    </row>
    <row r="507" spans="1:2" ht="25" customHeight="1" x14ac:dyDescent="0.2">
      <c r="A507" s="7"/>
      <c r="B507" s="8"/>
    </row>
    <row r="508" spans="1:2" ht="25" customHeight="1" x14ac:dyDescent="0.2">
      <c r="A508" s="7"/>
      <c r="B508" s="8"/>
    </row>
    <row r="509" spans="1:2" ht="25" customHeight="1" x14ac:dyDescent="0.2">
      <c r="A509" s="7"/>
      <c r="B509" s="8"/>
    </row>
    <row r="510" spans="1:2" ht="25" customHeight="1" x14ac:dyDescent="0.2">
      <c r="A510" s="7"/>
      <c r="B510" s="8"/>
    </row>
    <row r="511" spans="1:2" ht="25" customHeight="1" x14ac:dyDescent="0.2">
      <c r="A511" s="7"/>
      <c r="B511" s="8"/>
    </row>
    <row r="512" spans="1:2" ht="25" customHeight="1" x14ac:dyDescent="0.2">
      <c r="A512" s="7"/>
      <c r="B512" s="8"/>
    </row>
    <row r="513" spans="1:2" ht="25" customHeight="1" x14ac:dyDescent="0.2">
      <c r="A513" s="7"/>
      <c r="B513" s="8"/>
    </row>
    <row r="514" spans="1:2" ht="25" customHeight="1" x14ac:dyDescent="0.2">
      <c r="A514" s="7"/>
      <c r="B514" s="8"/>
    </row>
    <row r="515" spans="1:2" ht="25" customHeight="1" x14ac:dyDescent="0.2">
      <c r="A515" s="7"/>
      <c r="B515" s="8"/>
    </row>
    <row r="516" spans="1:2" ht="25" customHeight="1" x14ac:dyDescent="0.2">
      <c r="A516" s="7"/>
      <c r="B516" s="8"/>
    </row>
    <row r="517" spans="1:2" ht="25" customHeight="1" x14ac:dyDescent="0.2">
      <c r="A517" s="7"/>
      <c r="B517" s="8"/>
    </row>
    <row r="518" spans="1:2" ht="25" customHeight="1" x14ac:dyDescent="0.2">
      <c r="A518" s="7"/>
      <c r="B518" s="8"/>
    </row>
    <row r="519" spans="1:2" ht="25" customHeight="1" x14ac:dyDescent="0.2">
      <c r="A519" s="7"/>
      <c r="B519" s="8"/>
    </row>
    <row r="520" spans="1:2" ht="25" customHeight="1" x14ac:dyDescent="0.2">
      <c r="A520" s="7"/>
      <c r="B520" s="8"/>
    </row>
    <row r="521" spans="1:2" ht="25" customHeight="1" x14ac:dyDescent="0.2">
      <c r="A521" s="7"/>
      <c r="B521" s="8"/>
    </row>
    <row r="522" spans="1:2" ht="25" customHeight="1" x14ac:dyDescent="0.2">
      <c r="A522" s="7"/>
      <c r="B522" s="8"/>
    </row>
    <row r="523" spans="1:2" ht="25" customHeight="1" x14ac:dyDescent="0.2">
      <c r="A523" s="7"/>
      <c r="B523" s="8"/>
    </row>
    <row r="524" spans="1:2" ht="25" customHeight="1" x14ac:dyDescent="0.2">
      <c r="A524" s="7"/>
      <c r="B524" s="8"/>
    </row>
    <row r="525" spans="1:2" ht="25" customHeight="1" x14ac:dyDescent="0.2">
      <c r="A525" s="7"/>
      <c r="B525" s="8"/>
    </row>
    <row r="526" spans="1:2" ht="25" customHeight="1" x14ac:dyDescent="0.2">
      <c r="A526" s="7"/>
      <c r="B526" s="8"/>
    </row>
    <row r="527" spans="1:2" ht="25" customHeight="1" x14ac:dyDescent="0.2">
      <c r="A527" s="7"/>
      <c r="B527" s="8"/>
    </row>
    <row r="528" spans="1:2" ht="25" customHeight="1" x14ac:dyDescent="0.2">
      <c r="A528" s="7"/>
      <c r="B528" s="8"/>
    </row>
    <row r="529" spans="1:2" ht="25" customHeight="1" x14ac:dyDescent="0.2">
      <c r="A529" s="7"/>
      <c r="B529" s="8"/>
    </row>
    <row r="530" spans="1:2" ht="25" customHeight="1" x14ac:dyDescent="0.2">
      <c r="A530" s="7"/>
      <c r="B530" s="8"/>
    </row>
    <row r="531" spans="1:2" ht="25" customHeight="1" x14ac:dyDescent="0.2">
      <c r="A531" s="7"/>
      <c r="B531" s="8"/>
    </row>
    <row r="532" spans="1:2" ht="25" customHeight="1" x14ac:dyDescent="0.2">
      <c r="A532" s="7"/>
      <c r="B532" s="8"/>
    </row>
    <row r="533" spans="1:2" ht="25" customHeight="1" x14ac:dyDescent="0.2">
      <c r="A533" s="7"/>
      <c r="B533" s="8"/>
    </row>
    <row r="534" spans="1:2" ht="25" customHeight="1" x14ac:dyDescent="0.2">
      <c r="A534" s="7"/>
      <c r="B534" s="8"/>
    </row>
    <row r="535" spans="1:2" ht="25" customHeight="1" x14ac:dyDescent="0.2">
      <c r="A535" s="7"/>
      <c r="B535" s="8"/>
    </row>
    <row r="536" spans="1:2" ht="25" customHeight="1" x14ac:dyDescent="0.2">
      <c r="A536" s="7"/>
      <c r="B536" s="8"/>
    </row>
    <row r="537" spans="1:2" ht="25" customHeight="1" x14ac:dyDescent="0.2">
      <c r="A537" s="7"/>
      <c r="B537" s="8"/>
    </row>
    <row r="538" spans="1:2" ht="25" customHeight="1" x14ac:dyDescent="0.2">
      <c r="A538" s="7"/>
      <c r="B538" s="8"/>
    </row>
    <row r="539" spans="1:2" ht="25" customHeight="1" x14ac:dyDescent="0.2">
      <c r="A539" s="7"/>
      <c r="B539" s="8"/>
    </row>
    <row r="540" spans="1:2" ht="25" customHeight="1" x14ac:dyDescent="0.2">
      <c r="A540" s="7"/>
      <c r="B540" s="8"/>
    </row>
    <row r="541" spans="1:2" ht="25" customHeight="1" x14ac:dyDescent="0.2">
      <c r="A541" s="7"/>
      <c r="B541" s="8"/>
    </row>
    <row r="542" spans="1:2" ht="25" customHeight="1" x14ac:dyDescent="0.2">
      <c r="A542" s="7"/>
      <c r="B542" s="8"/>
    </row>
    <row r="543" spans="1:2" ht="25" customHeight="1" x14ac:dyDescent="0.2">
      <c r="A543" s="7"/>
      <c r="B543" s="8"/>
    </row>
    <row r="544" spans="1:2" ht="25" customHeight="1" x14ac:dyDescent="0.2">
      <c r="A544" s="7"/>
      <c r="B544" s="8"/>
    </row>
    <row r="545" spans="1:2" ht="25" customHeight="1" x14ac:dyDescent="0.2">
      <c r="A545" s="7"/>
      <c r="B545" s="8"/>
    </row>
    <row r="546" spans="1:2" ht="25" customHeight="1" x14ac:dyDescent="0.2">
      <c r="A546" s="7"/>
      <c r="B546" s="8"/>
    </row>
    <row r="547" spans="1:2" ht="25" customHeight="1" x14ac:dyDescent="0.2">
      <c r="A547" s="7"/>
      <c r="B547" s="8"/>
    </row>
    <row r="548" spans="1:2" ht="25" customHeight="1" x14ac:dyDescent="0.2">
      <c r="A548" s="7"/>
      <c r="B548" s="8"/>
    </row>
    <row r="549" spans="1:2" ht="25" customHeight="1" x14ac:dyDescent="0.2">
      <c r="A549" s="7"/>
      <c r="B549" s="8"/>
    </row>
    <row r="550" spans="1:2" ht="25" customHeight="1" x14ac:dyDescent="0.2">
      <c r="A550" s="7"/>
      <c r="B550" s="8"/>
    </row>
    <row r="551" spans="1:2" ht="25" customHeight="1" x14ac:dyDescent="0.2">
      <c r="A551" s="7"/>
      <c r="B551" s="8"/>
    </row>
    <row r="552" spans="1:2" ht="25" customHeight="1" x14ac:dyDescent="0.2">
      <c r="A552" s="7"/>
      <c r="B552" s="8"/>
    </row>
    <row r="553" spans="1:2" ht="25" customHeight="1" x14ac:dyDescent="0.2">
      <c r="A553" s="7"/>
      <c r="B553" s="8"/>
    </row>
    <row r="554" spans="1:2" ht="25" customHeight="1" x14ac:dyDescent="0.2">
      <c r="A554" s="7"/>
      <c r="B554" s="8"/>
    </row>
    <row r="555" spans="1:2" ht="25" customHeight="1" x14ac:dyDescent="0.2">
      <c r="A555" s="7"/>
      <c r="B555" s="8"/>
    </row>
    <row r="556" spans="1:2" ht="25" customHeight="1" x14ac:dyDescent="0.2">
      <c r="A556" s="7"/>
      <c r="B556" s="8"/>
    </row>
    <row r="557" spans="1:2" ht="25" customHeight="1" x14ac:dyDescent="0.2">
      <c r="A557" s="7"/>
      <c r="B557" s="8"/>
    </row>
    <row r="558" spans="1:2" ht="25" customHeight="1" x14ac:dyDescent="0.2">
      <c r="A558" s="7"/>
      <c r="B558" s="8"/>
    </row>
    <row r="559" spans="1:2" ht="25" customHeight="1" x14ac:dyDescent="0.2">
      <c r="A559" s="7"/>
      <c r="B559" s="8"/>
    </row>
    <row r="560" spans="1:2" ht="25" customHeight="1" x14ac:dyDescent="0.2">
      <c r="A560" s="7"/>
      <c r="B560" s="8"/>
    </row>
    <row r="561" spans="1:2" ht="25" customHeight="1" x14ac:dyDescent="0.2">
      <c r="A561" s="7"/>
      <c r="B561" s="8"/>
    </row>
    <row r="562" spans="1:2" ht="25" customHeight="1" x14ac:dyDescent="0.2">
      <c r="A562" s="7"/>
      <c r="B562" s="8"/>
    </row>
    <row r="563" spans="1:2" ht="25" customHeight="1" x14ac:dyDescent="0.2">
      <c r="A563" s="7"/>
      <c r="B563" s="8"/>
    </row>
    <row r="564" spans="1:2" ht="25" customHeight="1" x14ac:dyDescent="0.2">
      <c r="A564" s="7"/>
      <c r="B564" s="8"/>
    </row>
    <row r="565" spans="1:2" ht="25" customHeight="1" x14ac:dyDescent="0.2">
      <c r="A565" s="7"/>
      <c r="B565" s="8"/>
    </row>
    <row r="566" spans="1:2" ht="25" customHeight="1" x14ac:dyDescent="0.2">
      <c r="A566" s="7"/>
      <c r="B566" s="8"/>
    </row>
    <row r="567" spans="1:2" ht="25" customHeight="1" x14ac:dyDescent="0.2">
      <c r="A567" s="7"/>
      <c r="B567" s="8"/>
    </row>
    <row r="568" spans="1:2" ht="25" customHeight="1" x14ac:dyDescent="0.2">
      <c r="A568" s="7"/>
      <c r="B568" s="8"/>
    </row>
    <row r="569" spans="1:2" ht="25" customHeight="1" x14ac:dyDescent="0.2">
      <c r="A569" s="7"/>
      <c r="B569" s="8"/>
    </row>
    <row r="570" spans="1:2" ht="25" customHeight="1" x14ac:dyDescent="0.2">
      <c r="A570" s="7"/>
      <c r="B570" s="8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B207-F4D3-1548-8D3C-B6B080BE7409}">
  <dimension ref="A1:I48"/>
  <sheetViews>
    <sheetView zoomScale="90" zoomScaleNormal="90" workbookViewId="0">
      <selection activeCell="B49" sqref="B49"/>
    </sheetView>
  </sheetViews>
  <sheetFormatPr baseColWidth="10" defaultRowHeight="16" x14ac:dyDescent="0.2"/>
  <cols>
    <col min="1" max="1" width="3.1640625" style="1" customWidth="1"/>
    <col min="2" max="2" width="16.83203125" style="2" customWidth="1"/>
    <col min="3" max="4" width="28.33203125" style="1" customWidth="1"/>
    <col min="5" max="5" width="14.5" style="1" customWidth="1"/>
    <col min="6" max="6" width="23.83203125" style="2" customWidth="1"/>
    <col min="7" max="7" width="21.33203125" style="4" customWidth="1"/>
    <col min="8" max="8" width="27.6640625" style="4" customWidth="1"/>
    <col min="9" max="9" width="25.1640625" style="2" customWidth="1"/>
    <col min="10" max="16384" width="10.83203125" style="1"/>
  </cols>
  <sheetData>
    <row r="1" spans="1:9" ht="31" customHeight="1" x14ac:dyDescent="0.2">
      <c r="A1" s="43" t="s">
        <v>12</v>
      </c>
      <c r="B1" s="44"/>
      <c r="C1" s="44"/>
      <c r="D1" s="44"/>
      <c r="E1" s="44"/>
      <c r="F1" s="44"/>
      <c r="G1" s="44"/>
      <c r="H1" s="44"/>
      <c r="I1" s="45"/>
    </row>
    <row r="3" spans="1:9" x14ac:dyDescent="0.2">
      <c r="B3" s="18" t="s">
        <v>13</v>
      </c>
      <c r="C3" s="15" t="s">
        <v>14</v>
      </c>
      <c r="E3" s="17"/>
      <c r="F3" s="32" t="s">
        <v>29</v>
      </c>
      <c r="G3" s="33">
        <v>0.42</v>
      </c>
      <c r="H3" s="1"/>
    </row>
    <row r="4" spans="1:9" x14ac:dyDescent="0.2">
      <c r="B4" s="18" t="s">
        <v>15</v>
      </c>
      <c r="C4" s="19">
        <v>45901</v>
      </c>
      <c r="E4" s="17"/>
      <c r="F4" s="32" t="s">
        <v>30</v>
      </c>
      <c r="G4" s="34">
        <v>200000</v>
      </c>
      <c r="H4" s="1"/>
    </row>
    <row r="5" spans="1:9" x14ac:dyDescent="0.2">
      <c r="G5" s="41">
        <f>G4*G3</f>
        <v>84000</v>
      </c>
      <c r="H5" s="36"/>
    </row>
    <row r="6" spans="1:9" x14ac:dyDescent="0.2">
      <c r="C6" s="16"/>
      <c r="D6" s="16"/>
      <c r="E6" s="17"/>
      <c r="F6" s="35"/>
    </row>
    <row r="7" spans="1:9" x14ac:dyDescent="0.2">
      <c r="C7" s="10" t="s">
        <v>9</v>
      </c>
      <c r="D7" s="30">
        <f>SUM(G11:G48)</f>
        <v>590.17560000000003</v>
      </c>
      <c r="G7" s="10" t="s">
        <v>34</v>
      </c>
      <c r="H7" s="40">
        <f>SUM(Tabela2[PREÇO DESPERDÍCIO])</f>
        <v>2760.6534999999994</v>
      </c>
      <c r="I7" s="1"/>
    </row>
    <row r="8" spans="1:9" x14ac:dyDescent="0.2">
      <c r="C8" s="10" t="s">
        <v>28</v>
      </c>
      <c r="D8" s="31">
        <f>D7/G5</f>
        <v>7.0259000000000007E-3</v>
      </c>
      <c r="G8" s="10" t="s">
        <v>35</v>
      </c>
      <c r="H8" s="42">
        <f>H7/G4</f>
        <v>1.3803267499999997E-2</v>
      </c>
      <c r="I8" s="1"/>
    </row>
    <row r="10" spans="1:9" ht="34" customHeight="1" x14ac:dyDescent="0.2">
      <c r="B10" s="24" t="s">
        <v>8</v>
      </c>
      <c r="C10" s="24" t="s">
        <v>0</v>
      </c>
      <c r="D10" s="38" t="s">
        <v>37</v>
      </c>
      <c r="E10" s="24" t="s">
        <v>5</v>
      </c>
      <c r="F10" s="25" t="s">
        <v>6</v>
      </c>
      <c r="G10" s="37" t="s">
        <v>3</v>
      </c>
      <c r="H10" s="38" t="s">
        <v>36</v>
      </c>
      <c r="I10" s="24" t="s">
        <v>4</v>
      </c>
    </row>
    <row r="11" spans="1:9" ht="22" customHeight="1" x14ac:dyDescent="0.2">
      <c r="B11" s="20">
        <v>45901</v>
      </c>
      <c r="C11" s="21" t="s">
        <v>16</v>
      </c>
      <c r="D11" s="12" t="s">
        <v>16</v>
      </c>
      <c r="E11" s="22">
        <f>IFERROR(VLOOKUP(C11,'CADASTRO PRODUTOS'!A:B,2,0),"")</f>
        <v>0</v>
      </c>
      <c r="F11" s="23">
        <v>3.1560000000000001</v>
      </c>
      <c r="G11" s="39">
        <f>IFERROR(E11*F11,"")</f>
        <v>0</v>
      </c>
      <c r="H11" s="39">
        <f>VLOOKUP(Tabela2[[#This Row],[PRODUTO]],'CADASTRO PRODUTOS'!A:C,3,0)*Tabela2[[#This Row],[PESO DESPERDÍCIO (Kg)]]</f>
        <v>0</v>
      </c>
      <c r="I11" s="23" t="s">
        <v>31</v>
      </c>
    </row>
    <row r="12" spans="1:9" ht="22" customHeight="1" x14ac:dyDescent="0.2">
      <c r="B12" s="11">
        <v>45901</v>
      </c>
      <c r="C12" s="12" t="s">
        <v>17</v>
      </c>
      <c r="D12" s="12" t="s">
        <v>38</v>
      </c>
      <c r="E12" s="14">
        <f>IFERROR(VLOOKUP(C12,'CADASTRO PRODUTOS'!A:B,2,0),"")</f>
        <v>14.7</v>
      </c>
      <c r="F12" s="13">
        <v>1.3260000000000001</v>
      </c>
      <c r="G12" s="39">
        <f>IFERROR(E12*F12,"")</f>
        <v>19.4922</v>
      </c>
      <c r="H12" s="39">
        <f>VLOOKUP(Tabela2[[#This Row],[PRODUTO]],'CADASTRO PRODUTOS'!A:C,3,0)*Tabela2[[#This Row],[PESO DESPERDÍCIO (Kg)]]</f>
        <v>39.514800000000001</v>
      </c>
      <c r="I12" s="13" t="s">
        <v>11</v>
      </c>
    </row>
    <row r="13" spans="1:9" ht="22" customHeight="1" x14ac:dyDescent="0.2">
      <c r="B13" s="11">
        <v>45901</v>
      </c>
      <c r="C13" s="12" t="s">
        <v>2</v>
      </c>
      <c r="D13" s="12" t="s">
        <v>39</v>
      </c>
      <c r="E13" s="14">
        <f>IFERROR(VLOOKUP(C13,'CADASTRO PRODUTOS'!A:B,2,0),"")</f>
        <v>12.54</v>
      </c>
      <c r="F13" s="13">
        <v>1</v>
      </c>
      <c r="G13" s="39">
        <f t="shared" ref="G13:G31" si="0">IFERROR(E13*F13,"")</f>
        <v>12.54</v>
      </c>
      <c r="H13" s="39">
        <f>VLOOKUP(Tabela2[[#This Row],[PRODUTO]],'CADASTRO PRODUTOS'!A:C,3,0)*Tabela2[[#This Row],[PESO DESPERDÍCIO (Kg)]]</f>
        <v>64.900000000000006</v>
      </c>
      <c r="I13" s="13" t="s">
        <v>11</v>
      </c>
    </row>
    <row r="14" spans="1:9" ht="22" customHeight="1" x14ac:dyDescent="0.2">
      <c r="B14" s="11">
        <v>45901</v>
      </c>
      <c r="C14" s="12" t="s">
        <v>18</v>
      </c>
      <c r="D14" s="12" t="s">
        <v>39</v>
      </c>
      <c r="E14" s="14">
        <f>IFERROR(VLOOKUP(C14,'CADASTRO PRODUTOS'!A:B,2,0),"")</f>
        <v>0</v>
      </c>
      <c r="F14" s="13">
        <v>0.69399999999999995</v>
      </c>
      <c r="G14" s="39">
        <f t="shared" si="0"/>
        <v>0</v>
      </c>
      <c r="H14" s="39">
        <f>VLOOKUP(Tabela2[[#This Row],[PRODUTO]],'CADASTRO PRODUTOS'!A:C,3,0)*Tabela2[[#This Row],[PESO DESPERDÍCIO (Kg)]]</f>
        <v>45.040599999999998</v>
      </c>
      <c r="I14" s="13" t="s">
        <v>11</v>
      </c>
    </row>
    <row r="15" spans="1:9" ht="22" customHeight="1" x14ac:dyDescent="0.2">
      <c r="B15" s="11">
        <v>45902</v>
      </c>
      <c r="C15" s="12" t="s">
        <v>16</v>
      </c>
      <c r="D15" s="12" t="s">
        <v>16</v>
      </c>
      <c r="E15" s="14">
        <f>IFERROR(VLOOKUP(C15,'CADASTRO PRODUTOS'!A:B,2,0),"")</f>
        <v>0</v>
      </c>
      <c r="F15" s="13">
        <v>1.556</v>
      </c>
      <c r="G15" s="39">
        <f t="shared" si="0"/>
        <v>0</v>
      </c>
      <c r="H15" s="39">
        <f>VLOOKUP(Tabela2[[#This Row],[PRODUTO]],'CADASTRO PRODUTOS'!A:C,3,0)*Tabela2[[#This Row],[PESO DESPERDÍCIO (Kg)]]</f>
        <v>0</v>
      </c>
      <c r="I15" s="13" t="s">
        <v>31</v>
      </c>
    </row>
    <row r="16" spans="1:9" ht="22" customHeight="1" x14ac:dyDescent="0.2">
      <c r="B16" s="11">
        <v>45903</v>
      </c>
      <c r="C16" s="12" t="s">
        <v>16</v>
      </c>
      <c r="D16" s="12" t="s">
        <v>16</v>
      </c>
      <c r="E16" s="14">
        <f>IFERROR(VLOOKUP(C16,'CADASTRO PRODUTOS'!A:B,2,0),"")</f>
        <v>0</v>
      </c>
      <c r="F16" s="13">
        <v>1.74</v>
      </c>
      <c r="G16" s="39">
        <f t="shared" si="0"/>
        <v>0</v>
      </c>
      <c r="H16" s="39">
        <f>VLOOKUP(Tabela2[[#This Row],[PRODUTO]],'CADASTRO PRODUTOS'!A:C,3,0)*Tabela2[[#This Row],[PESO DESPERDÍCIO (Kg)]]</f>
        <v>0</v>
      </c>
      <c r="I16" s="13" t="s">
        <v>31</v>
      </c>
    </row>
    <row r="17" spans="2:9" ht="22" customHeight="1" x14ac:dyDescent="0.2">
      <c r="B17" s="11">
        <v>45903</v>
      </c>
      <c r="C17" s="12" t="s">
        <v>19</v>
      </c>
      <c r="D17" s="12" t="s">
        <v>39</v>
      </c>
      <c r="E17" s="14">
        <f>IFERROR(VLOOKUP(C17,'CADASTRO PRODUTOS'!A:B,2,0),"")</f>
        <v>15</v>
      </c>
      <c r="F17" s="13">
        <v>1.76</v>
      </c>
      <c r="G17" s="39">
        <f t="shared" si="0"/>
        <v>26.4</v>
      </c>
      <c r="H17" s="39">
        <f>VLOOKUP(Tabela2[[#This Row],[PRODUTO]],'CADASTRO PRODUTOS'!A:C,3,0)*Tabela2[[#This Row],[PESO DESPERDÍCIO (Kg)]]</f>
        <v>114.224</v>
      </c>
      <c r="I17" s="13" t="s">
        <v>11</v>
      </c>
    </row>
    <row r="18" spans="2:9" ht="22" customHeight="1" x14ac:dyDescent="0.2">
      <c r="B18" s="11">
        <v>45903</v>
      </c>
      <c r="C18" s="12" t="s">
        <v>20</v>
      </c>
      <c r="D18" s="12" t="s">
        <v>39</v>
      </c>
      <c r="E18" s="14">
        <f>IFERROR(VLOOKUP(C18,'CADASTRO PRODUTOS'!A:B,2,0),"")</f>
        <v>17</v>
      </c>
      <c r="F18" s="13">
        <v>0.34799999999999998</v>
      </c>
      <c r="G18" s="39">
        <f t="shared" si="0"/>
        <v>5.9159999999999995</v>
      </c>
      <c r="H18" s="39">
        <f>VLOOKUP(Tabela2[[#This Row],[PRODUTO]],'CADASTRO PRODUTOS'!A:C,3,0)*Tabela2[[#This Row],[PESO DESPERDÍCIO (Kg)]]</f>
        <v>22.5852</v>
      </c>
      <c r="I18" s="13" t="s">
        <v>11</v>
      </c>
    </row>
    <row r="19" spans="2:9" ht="22" customHeight="1" x14ac:dyDescent="0.2">
      <c r="B19" s="11">
        <v>45903</v>
      </c>
      <c r="C19" s="12" t="s">
        <v>21</v>
      </c>
      <c r="D19" s="12" t="s">
        <v>39</v>
      </c>
      <c r="E19" s="14">
        <f>IFERROR(VLOOKUP(C19,'CADASTRO PRODUTOS'!A:B,2,0),"")</f>
        <v>0</v>
      </c>
      <c r="F19" s="13">
        <v>2.2719999999999998</v>
      </c>
      <c r="G19" s="39">
        <f t="shared" si="0"/>
        <v>0</v>
      </c>
      <c r="H19" s="39">
        <f>VLOOKUP(Tabela2[[#This Row],[PRODUTO]],'CADASTRO PRODUTOS'!A:C,3,0)*Tabela2[[#This Row],[PESO DESPERDÍCIO (Kg)]]</f>
        <v>147.4528</v>
      </c>
      <c r="I19" s="13" t="s">
        <v>11</v>
      </c>
    </row>
    <row r="20" spans="2:9" ht="22" customHeight="1" x14ac:dyDescent="0.2">
      <c r="B20" s="11">
        <v>45903</v>
      </c>
      <c r="C20" s="12" t="s">
        <v>22</v>
      </c>
      <c r="D20" s="12" t="s">
        <v>39</v>
      </c>
      <c r="E20" s="14">
        <f>IFERROR(VLOOKUP(C20,'CADASTRO PRODUTOS'!A:B,2,0),"")</f>
        <v>7.2</v>
      </c>
      <c r="F20" s="13">
        <v>2.6739999999999999</v>
      </c>
      <c r="G20" s="39">
        <f t="shared" si="0"/>
        <v>19.252800000000001</v>
      </c>
      <c r="H20" s="39">
        <f>VLOOKUP(Tabela2[[#This Row],[PRODUTO]],'CADASTRO PRODUTOS'!A:C,3,0)*Tabela2[[#This Row],[PESO DESPERDÍCIO (Kg)]]</f>
        <v>173.54260000000002</v>
      </c>
      <c r="I20" s="13" t="s">
        <v>11</v>
      </c>
    </row>
    <row r="21" spans="2:9" ht="22" customHeight="1" x14ac:dyDescent="0.2">
      <c r="B21" s="11">
        <v>45903</v>
      </c>
      <c r="C21" s="12" t="s">
        <v>23</v>
      </c>
      <c r="D21" s="12" t="s">
        <v>39</v>
      </c>
      <c r="E21" s="14">
        <f>IFERROR(VLOOKUP(C21,'CADASTRO PRODUTOS'!A:B,2,0),"")</f>
        <v>14.95</v>
      </c>
      <c r="F21" s="13">
        <v>0.51800000000000002</v>
      </c>
      <c r="G21" s="39">
        <f t="shared" si="0"/>
        <v>7.7440999999999995</v>
      </c>
      <c r="H21" s="39">
        <f>VLOOKUP(Tabela2[[#This Row],[PRODUTO]],'CADASTRO PRODUTOS'!A:C,3,0)*Tabela2[[#This Row],[PESO DESPERDÍCIO (Kg)]]</f>
        <v>33.618200000000002</v>
      </c>
      <c r="I21" s="13" t="s">
        <v>32</v>
      </c>
    </row>
    <row r="22" spans="2:9" ht="22" customHeight="1" x14ac:dyDescent="0.2">
      <c r="B22" s="11">
        <v>45904</v>
      </c>
      <c r="C22" s="12" t="s">
        <v>24</v>
      </c>
      <c r="D22" s="12" t="s">
        <v>39</v>
      </c>
      <c r="E22" s="14">
        <f>IFERROR(VLOOKUP(C22,'CADASTRO PRODUTOS'!A:B,2,0),"")</f>
        <v>12</v>
      </c>
      <c r="F22" s="13">
        <v>0.64500000000000002</v>
      </c>
      <c r="G22" s="39">
        <f t="shared" si="0"/>
        <v>7.74</v>
      </c>
      <c r="H22" s="39">
        <f>VLOOKUP(Tabela2[[#This Row],[PRODUTO]],'CADASTRO PRODUTOS'!A:C,3,0)*Tabela2[[#This Row],[PESO DESPERDÍCIO (Kg)]]</f>
        <v>41.860500000000002</v>
      </c>
      <c r="I22" s="13" t="s">
        <v>11</v>
      </c>
    </row>
    <row r="23" spans="2:9" ht="22" customHeight="1" x14ac:dyDescent="0.2">
      <c r="B23" s="11">
        <v>45904</v>
      </c>
      <c r="C23" s="12" t="s">
        <v>16</v>
      </c>
      <c r="D23" s="12" t="s">
        <v>39</v>
      </c>
      <c r="E23" s="14">
        <f>IFERROR(VLOOKUP(C23,'CADASTRO PRODUTOS'!A:B,2,0),"")</f>
        <v>0</v>
      </c>
      <c r="F23" s="13">
        <v>1.69</v>
      </c>
      <c r="G23" s="39">
        <f t="shared" si="0"/>
        <v>0</v>
      </c>
      <c r="H23" s="39">
        <f>VLOOKUP(Tabela2[[#This Row],[PRODUTO]],'CADASTRO PRODUTOS'!A:C,3,0)*Tabela2[[#This Row],[PESO DESPERDÍCIO (Kg)]]</f>
        <v>0</v>
      </c>
      <c r="I23" s="13" t="s">
        <v>31</v>
      </c>
    </row>
    <row r="24" spans="2:9" ht="22" customHeight="1" x14ac:dyDescent="0.2">
      <c r="B24" s="11">
        <v>45905</v>
      </c>
      <c r="C24" s="12" t="s">
        <v>16</v>
      </c>
      <c r="D24" s="12" t="s">
        <v>16</v>
      </c>
      <c r="E24" s="14">
        <f>IFERROR(VLOOKUP(C24,'CADASTRO PRODUTOS'!A:B,2,0),"")</f>
        <v>0</v>
      </c>
      <c r="F24" s="13">
        <v>2.4540000000000002</v>
      </c>
      <c r="G24" s="39">
        <f t="shared" si="0"/>
        <v>0</v>
      </c>
      <c r="H24" s="39">
        <f>VLOOKUP(Tabela2[[#This Row],[PRODUTO]],'CADASTRO PRODUTOS'!A:C,3,0)*Tabela2[[#This Row],[PESO DESPERDÍCIO (Kg)]]</f>
        <v>0</v>
      </c>
      <c r="I24" s="13" t="s">
        <v>31</v>
      </c>
    </row>
    <row r="25" spans="2:9" ht="22" customHeight="1" x14ac:dyDescent="0.2">
      <c r="B25" s="11">
        <v>45906</v>
      </c>
      <c r="C25" s="12" t="s">
        <v>16</v>
      </c>
      <c r="D25" s="12" t="s">
        <v>16</v>
      </c>
      <c r="E25" s="14">
        <f>IFERROR(VLOOKUP(C25,'CADASTRO PRODUTOS'!A:B,2,0),"")</f>
        <v>0</v>
      </c>
      <c r="F25" s="13">
        <v>2.2120000000000002</v>
      </c>
      <c r="G25" s="39">
        <f t="shared" si="0"/>
        <v>0</v>
      </c>
      <c r="H25" s="39">
        <f>VLOOKUP(Tabela2[[#This Row],[PRODUTO]],'CADASTRO PRODUTOS'!A:C,3,0)*Tabela2[[#This Row],[PESO DESPERDÍCIO (Kg)]]</f>
        <v>0</v>
      </c>
      <c r="I25" s="13" t="s">
        <v>31</v>
      </c>
    </row>
    <row r="26" spans="2:9" ht="22" customHeight="1" x14ac:dyDescent="0.2">
      <c r="B26" s="11">
        <v>45908</v>
      </c>
      <c r="C26" s="12" t="s">
        <v>23</v>
      </c>
      <c r="D26" s="12" t="s">
        <v>39</v>
      </c>
      <c r="E26" s="14">
        <f>IFERROR(VLOOKUP(C26,'CADASTRO PRODUTOS'!A:B,2,0),"")</f>
        <v>14.95</v>
      </c>
      <c r="F26" s="13">
        <v>1.31</v>
      </c>
      <c r="G26" s="39">
        <f t="shared" si="0"/>
        <v>19.584499999999998</v>
      </c>
      <c r="H26" s="39">
        <f>VLOOKUP(Tabela2[[#This Row],[PRODUTO]],'CADASTRO PRODUTOS'!A:C,3,0)*Tabela2[[#This Row],[PESO DESPERDÍCIO (Kg)]]</f>
        <v>85.019000000000005</v>
      </c>
      <c r="I26" s="13" t="s">
        <v>32</v>
      </c>
    </row>
    <row r="27" spans="2:9" ht="22" customHeight="1" x14ac:dyDescent="0.2">
      <c r="B27" s="11">
        <v>45908</v>
      </c>
      <c r="C27" s="12" t="s">
        <v>25</v>
      </c>
      <c r="D27" s="12" t="s">
        <v>39</v>
      </c>
      <c r="E27" s="14">
        <f>IFERROR(VLOOKUP(C27,'CADASTRO PRODUTOS'!A:B,2,0),"")</f>
        <v>28</v>
      </c>
      <c r="F27" s="13">
        <v>1.208</v>
      </c>
      <c r="G27" s="39">
        <f t="shared" si="0"/>
        <v>33.823999999999998</v>
      </c>
      <c r="H27" s="39">
        <f>VLOOKUP(Tabela2[[#This Row],[PRODUTO]],'CADASTRO PRODUTOS'!A:C,3,0)*Tabela2[[#This Row],[PESO DESPERDÍCIO (Kg)]]</f>
        <v>78.399200000000008</v>
      </c>
      <c r="I27" s="13" t="s">
        <v>11</v>
      </c>
    </row>
    <row r="28" spans="2:9" ht="22" customHeight="1" x14ac:dyDescent="0.2">
      <c r="B28" s="11">
        <v>45908</v>
      </c>
      <c r="C28" s="12" t="s">
        <v>26</v>
      </c>
      <c r="D28" s="12" t="s">
        <v>39</v>
      </c>
      <c r="E28" s="14">
        <f>IFERROR(VLOOKUP(C28,'CADASTRO PRODUTOS'!A:B,2,0),"")</f>
        <v>0</v>
      </c>
      <c r="F28" s="13">
        <v>2.6339999999999999</v>
      </c>
      <c r="G28" s="39">
        <f t="shared" si="0"/>
        <v>0</v>
      </c>
      <c r="H28" s="39">
        <f>VLOOKUP(Tabela2[[#This Row],[PRODUTO]],'CADASTRO PRODUTOS'!A:C,3,0)*Tabela2[[#This Row],[PESO DESPERDÍCIO (Kg)]]</f>
        <v>170.94660000000002</v>
      </c>
      <c r="I28" s="13" t="s">
        <v>11</v>
      </c>
    </row>
    <row r="29" spans="2:9" ht="22" customHeight="1" x14ac:dyDescent="0.2">
      <c r="B29" s="11">
        <v>45909</v>
      </c>
      <c r="C29" s="12" t="s">
        <v>16</v>
      </c>
      <c r="D29" s="12" t="s">
        <v>16</v>
      </c>
      <c r="E29" s="14">
        <f>IFERROR(VLOOKUP(C29,'CADASTRO PRODUTOS'!A:B,2,0),"")</f>
        <v>0</v>
      </c>
      <c r="F29" s="13">
        <v>2.6760000000000002</v>
      </c>
      <c r="G29" s="39">
        <f t="shared" si="0"/>
        <v>0</v>
      </c>
      <c r="H29" s="39">
        <f>VLOOKUP(Tabela2[[#This Row],[PRODUTO]],'CADASTRO PRODUTOS'!A:C,3,0)*Tabela2[[#This Row],[PESO DESPERDÍCIO (Kg)]]</f>
        <v>0</v>
      </c>
      <c r="I29" s="13" t="s">
        <v>31</v>
      </c>
    </row>
    <row r="30" spans="2:9" ht="22" customHeight="1" x14ac:dyDescent="0.2">
      <c r="B30" s="11">
        <v>45910</v>
      </c>
      <c r="C30" s="12" t="s">
        <v>23</v>
      </c>
      <c r="D30" s="12" t="s">
        <v>39</v>
      </c>
      <c r="E30" s="14">
        <f>IFERROR(VLOOKUP(C30,'CADASTRO PRODUTOS'!A:B,2,0),"")</f>
        <v>14.95</v>
      </c>
      <c r="F30" s="13">
        <v>0.878</v>
      </c>
      <c r="G30" s="39">
        <f t="shared" si="0"/>
        <v>13.126099999999999</v>
      </c>
      <c r="H30" s="39">
        <f>VLOOKUP(Tabela2[[#This Row],[PRODUTO]],'CADASTRO PRODUTOS'!A:C,3,0)*Tabela2[[#This Row],[PESO DESPERDÍCIO (Kg)]]</f>
        <v>56.982200000000006</v>
      </c>
      <c r="I30" s="13" t="s">
        <v>32</v>
      </c>
    </row>
    <row r="31" spans="2:9" ht="22" customHeight="1" x14ac:dyDescent="0.2">
      <c r="B31" s="11">
        <v>45910</v>
      </c>
      <c r="C31" s="12" t="s">
        <v>19</v>
      </c>
      <c r="D31" s="12" t="s">
        <v>39</v>
      </c>
      <c r="E31" s="14">
        <f>IFERROR(VLOOKUP(C31,'CADASTRO PRODUTOS'!A:B,2,0),"")</f>
        <v>15</v>
      </c>
      <c r="F31" s="13">
        <v>4.0720000000000001</v>
      </c>
      <c r="G31" s="39">
        <f t="shared" si="0"/>
        <v>61.08</v>
      </c>
      <c r="H31" s="39">
        <f>VLOOKUP(Tabela2[[#This Row],[PRODUTO]],'CADASTRO PRODUTOS'!A:C,3,0)*Tabela2[[#This Row],[PESO DESPERDÍCIO (Kg)]]</f>
        <v>264.27280000000002</v>
      </c>
      <c r="I31" s="13" t="s">
        <v>11</v>
      </c>
    </row>
    <row r="32" spans="2:9" ht="22" customHeight="1" x14ac:dyDescent="0.2">
      <c r="B32" s="26">
        <v>45911</v>
      </c>
      <c r="C32" s="27" t="s">
        <v>16</v>
      </c>
      <c r="D32" s="12" t="s">
        <v>16</v>
      </c>
      <c r="E32" s="28">
        <f>IFERROR(VLOOKUP(C32,'CADASTRO PRODUTOS'!A:B,2,0),"")</f>
        <v>0</v>
      </c>
      <c r="F32" s="29">
        <v>2.3860000000000001</v>
      </c>
      <c r="G32" s="39">
        <f t="shared" ref="G32:G39" si="1">IFERROR(E32*F32,"")</f>
        <v>0</v>
      </c>
      <c r="H32" s="39">
        <f>VLOOKUP(Tabela2[[#This Row],[PRODUTO]],'CADASTRO PRODUTOS'!A:C,3,0)*Tabela2[[#This Row],[PESO DESPERDÍCIO (Kg)]]</f>
        <v>0</v>
      </c>
      <c r="I32" s="29" t="s">
        <v>31</v>
      </c>
    </row>
    <row r="33" spans="2:9" ht="22" customHeight="1" x14ac:dyDescent="0.2">
      <c r="B33" s="26">
        <v>45912</v>
      </c>
      <c r="C33" s="27" t="s">
        <v>16</v>
      </c>
      <c r="D33" s="12" t="s">
        <v>16</v>
      </c>
      <c r="E33" s="28">
        <f>IFERROR(VLOOKUP(C33,'CADASTRO PRODUTOS'!A:B,2,0),"")</f>
        <v>0</v>
      </c>
      <c r="F33" s="29">
        <v>1.738</v>
      </c>
      <c r="G33" s="39">
        <f t="shared" si="1"/>
        <v>0</v>
      </c>
      <c r="H33" s="39">
        <f>VLOOKUP(Tabela2[[#This Row],[PRODUTO]],'CADASTRO PRODUTOS'!A:C,3,0)*Tabela2[[#This Row],[PESO DESPERDÍCIO (Kg)]]</f>
        <v>0</v>
      </c>
      <c r="I33" s="29" t="s">
        <v>31</v>
      </c>
    </row>
    <row r="34" spans="2:9" ht="22" customHeight="1" x14ac:dyDescent="0.2">
      <c r="B34" s="26">
        <v>45916</v>
      </c>
      <c r="C34" s="27" t="s">
        <v>2</v>
      </c>
      <c r="D34" s="12" t="s">
        <v>39</v>
      </c>
      <c r="E34" s="28">
        <f>IFERROR(VLOOKUP(C34,'CADASTRO PRODUTOS'!A:B,2,0),"")</f>
        <v>12.54</v>
      </c>
      <c r="F34" s="29">
        <v>2.488</v>
      </c>
      <c r="G34" s="39">
        <f t="shared" si="1"/>
        <v>31.199519999999996</v>
      </c>
      <c r="H34" s="39">
        <f>VLOOKUP(Tabela2[[#This Row],[PRODUTO]],'CADASTRO PRODUTOS'!A:C,3,0)*Tabela2[[#This Row],[PESO DESPERDÍCIO (Kg)]]</f>
        <v>161.47120000000001</v>
      </c>
      <c r="I34" s="29" t="s">
        <v>11</v>
      </c>
    </row>
    <row r="35" spans="2:9" ht="22" customHeight="1" x14ac:dyDescent="0.2">
      <c r="B35" s="26">
        <v>45916</v>
      </c>
      <c r="C35" s="27" t="s">
        <v>2</v>
      </c>
      <c r="D35" s="12" t="s">
        <v>39</v>
      </c>
      <c r="E35" s="28">
        <f>IFERROR(VLOOKUP(C35,'CADASTRO PRODUTOS'!A:B,2,0),"")</f>
        <v>12.54</v>
      </c>
      <c r="F35" s="29">
        <v>1.6020000000000001</v>
      </c>
      <c r="G35" s="39">
        <f t="shared" si="1"/>
        <v>20.089079999999999</v>
      </c>
      <c r="H35" s="39">
        <f>VLOOKUP(Tabela2[[#This Row],[PRODUTO]],'CADASTRO PRODUTOS'!A:C,3,0)*Tabela2[[#This Row],[PESO DESPERDÍCIO (Kg)]]</f>
        <v>103.96980000000002</v>
      </c>
      <c r="I35" s="29" t="s">
        <v>11</v>
      </c>
    </row>
    <row r="36" spans="2:9" ht="22" customHeight="1" x14ac:dyDescent="0.2">
      <c r="B36" s="26">
        <v>45916</v>
      </c>
      <c r="C36" s="27" t="s">
        <v>27</v>
      </c>
      <c r="D36" s="12" t="s">
        <v>39</v>
      </c>
      <c r="E36" s="28">
        <f>IFERROR(VLOOKUP(C36,'CADASTRO PRODUTOS'!A:B,2,0),"")</f>
        <v>6.1</v>
      </c>
      <c r="F36" s="29">
        <v>3.2719999999999998</v>
      </c>
      <c r="G36" s="39">
        <f t="shared" si="1"/>
        <v>19.959199999999999</v>
      </c>
      <c r="H36" s="39">
        <f>VLOOKUP(Tabela2[[#This Row],[PRODUTO]],'CADASTRO PRODUTOS'!A:C,3,0)*Tabela2[[#This Row],[PESO DESPERDÍCIO (Kg)]]</f>
        <v>212.3528</v>
      </c>
      <c r="I36" s="29" t="s">
        <v>11</v>
      </c>
    </row>
    <row r="37" spans="2:9" ht="22" customHeight="1" x14ac:dyDescent="0.2">
      <c r="B37" s="26">
        <v>45917</v>
      </c>
      <c r="C37" s="27" t="s">
        <v>16</v>
      </c>
      <c r="D37" s="12" t="s">
        <v>16</v>
      </c>
      <c r="E37" s="28">
        <f>IFERROR(VLOOKUP(C37,'CADASTRO PRODUTOS'!A:B,2,0),"")</f>
        <v>0</v>
      </c>
      <c r="F37" s="29">
        <v>1.0980000000000001</v>
      </c>
      <c r="G37" s="39">
        <f t="shared" si="1"/>
        <v>0</v>
      </c>
      <c r="H37" s="39">
        <f>VLOOKUP(Tabela2[[#This Row],[PRODUTO]],'CADASTRO PRODUTOS'!A:C,3,0)*Tabela2[[#This Row],[PESO DESPERDÍCIO (Kg)]]</f>
        <v>0</v>
      </c>
      <c r="I37" s="29" t="s">
        <v>31</v>
      </c>
    </row>
    <row r="38" spans="2:9" ht="22" customHeight="1" x14ac:dyDescent="0.2">
      <c r="B38" s="26">
        <v>45917</v>
      </c>
      <c r="C38" s="27" t="s">
        <v>22</v>
      </c>
      <c r="D38" s="12" t="s">
        <v>39</v>
      </c>
      <c r="E38" s="28">
        <f>IFERROR(VLOOKUP(C38,'CADASTRO PRODUTOS'!A:B,2,0),"")</f>
        <v>7.2</v>
      </c>
      <c r="F38" s="29">
        <v>2.2719999999999998</v>
      </c>
      <c r="G38" s="39">
        <f t="shared" si="1"/>
        <v>16.3584</v>
      </c>
      <c r="H38" s="39">
        <f>VLOOKUP(Tabela2[[#This Row],[PRODUTO]],'CADASTRO PRODUTOS'!A:C,3,0)*Tabela2[[#This Row],[PESO DESPERDÍCIO (Kg)]]</f>
        <v>147.4528</v>
      </c>
      <c r="I38" s="29" t="s">
        <v>11</v>
      </c>
    </row>
    <row r="39" spans="2:9" ht="22" customHeight="1" x14ac:dyDescent="0.2">
      <c r="B39" s="26">
        <v>45918</v>
      </c>
      <c r="C39" s="27" t="s">
        <v>16</v>
      </c>
      <c r="D39" s="12" t="s">
        <v>16</v>
      </c>
      <c r="E39" s="28">
        <f>IFERROR(VLOOKUP(C39,'CADASTRO PRODUTOS'!A:B,2,0),"")</f>
        <v>0</v>
      </c>
      <c r="F39" s="29">
        <v>1.1419999999999999</v>
      </c>
      <c r="G39" s="39">
        <f t="shared" si="1"/>
        <v>0</v>
      </c>
      <c r="H39" s="39">
        <f>VLOOKUP(Tabela2[[#This Row],[PRODUTO]],'CADASTRO PRODUTOS'!A:C,3,0)*Tabela2[[#This Row],[PESO DESPERDÍCIO (Kg)]]</f>
        <v>0</v>
      </c>
      <c r="I39" s="29" t="s">
        <v>11</v>
      </c>
    </row>
    <row r="40" spans="2:9" ht="22" customHeight="1" x14ac:dyDescent="0.2">
      <c r="B40" s="26">
        <v>45921</v>
      </c>
      <c r="C40" s="27" t="s">
        <v>22</v>
      </c>
      <c r="D40" s="12" t="s">
        <v>39</v>
      </c>
      <c r="E40" s="28">
        <f>IFERROR(VLOOKUP(C40,'CADASTRO PRODUTOS'!A:B,2,0),"")</f>
        <v>7.2</v>
      </c>
      <c r="F40" s="29">
        <v>4.32</v>
      </c>
      <c r="G40" s="39">
        <f t="shared" ref="G40:G48" si="2">IFERROR(E40*F40,"")</f>
        <v>31.104000000000003</v>
      </c>
      <c r="H40" s="39">
        <f>VLOOKUP(Tabela2[[#This Row],[PRODUTO]],'CADASTRO PRODUTOS'!A:C,3,0)*Tabela2[[#This Row],[PESO DESPERDÍCIO (Kg)]]</f>
        <v>280.36800000000005</v>
      </c>
      <c r="I40" s="29" t="s">
        <v>11</v>
      </c>
    </row>
    <row r="41" spans="2:9" ht="22" customHeight="1" x14ac:dyDescent="0.2">
      <c r="B41" s="26">
        <v>45924</v>
      </c>
      <c r="C41" s="27" t="s">
        <v>16</v>
      </c>
      <c r="D41" s="12" t="s">
        <v>16</v>
      </c>
      <c r="E41" s="28">
        <f>IFERROR(VLOOKUP(C41,'CADASTRO PRODUTOS'!A:B,2,0),"")</f>
        <v>0</v>
      </c>
      <c r="F41" s="29">
        <v>0.80400000000000005</v>
      </c>
      <c r="G41" s="39">
        <f t="shared" si="2"/>
        <v>0</v>
      </c>
      <c r="H41" s="39">
        <f>VLOOKUP(Tabela2[[#This Row],[PRODUTO]],'CADASTRO PRODUTOS'!A:C,3,0)*Tabela2[[#This Row],[PESO DESPERDÍCIO (Kg)]]</f>
        <v>0</v>
      </c>
      <c r="I41" s="29" t="s">
        <v>31</v>
      </c>
    </row>
    <row r="42" spans="2:9" ht="22" customHeight="1" x14ac:dyDescent="0.2">
      <c r="B42" s="26">
        <v>45924</v>
      </c>
      <c r="C42" s="27" t="s">
        <v>23</v>
      </c>
      <c r="D42" s="12" t="s">
        <v>39</v>
      </c>
      <c r="E42" s="28">
        <f>IFERROR(VLOOKUP(C42,'CADASTRO PRODUTOS'!A:B,2,0),"")</f>
        <v>14.95</v>
      </c>
      <c r="F42" s="29">
        <v>0.218</v>
      </c>
      <c r="G42" s="39">
        <f t="shared" si="2"/>
        <v>3.2590999999999997</v>
      </c>
      <c r="H42" s="39">
        <f>VLOOKUP(Tabela2[[#This Row],[PRODUTO]],'CADASTRO PRODUTOS'!A:C,3,0)*Tabela2[[#This Row],[PESO DESPERDÍCIO (Kg)]]</f>
        <v>14.148200000000001</v>
      </c>
      <c r="I42" s="29" t="s">
        <v>32</v>
      </c>
    </row>
    <row r="43" spans="2:9" ht="22" customHeight="1" x14ac:dyDescent="0.2">
      <c r="B43" s="26">
        <v>45924</v>
      </c>
      <c r="C43" s="27" t="s">
        <v>33</v>
      </c>
      <c r="D43" s="12" t="s">
        <v>38</v>
      </c>
      <c r="E43" s="28">
        <f>IFERROR(VLOOKUP(C43,'CADASTRO PRODUTOS'!A:B,2,0),"")</f>
        <v>28.65</v>
      </c>
      <c r="F43" s="29">
        <v>5.6879999999999997</v>
      </c>
      <c r="G43" s="39">
        <f t="shared" si="2"/>
        <v>162.96119999999999</v>
      </c>
      <c r="H43" s="39">
        <f>VLOOKUP(Tabela2[[#This Row],[PRODUTO]],'CADASTRO PRODUTOS'!A:C,3,0)*Tabela2[[#This Row],[PESO DESPERDÍCIO (Kg)]]</f>
        <v>192.25439999999998</v>
      </c>
      <c r="I43" s="29" t="s">
        <v>11</v>
      </c>
    </row>
    <row r="44" spans="2:9" ht="22" customHeight="1" x14ac:dyDescent="0.2">
      <c r="B44" s="26">
        <v>45926</v>
      </c>
      <c r="C44" s="27" t="s">
        <v>16</v>
      </c>
      <c r="D44" s="12" t="s">
        <v>16</v>
      </c>
      <c r="E44" s="28">
        <f>IFERROR(VLOOKUP(C44,'CADASTRO PRODUTOS'!A:B,2,0),"")</f>
        <v>0</v>
      </c>
      <c r="F44" s="29">
        <v>2.3380000000000001</v>
      </c>
      <c r="G44" s="39">
        <f t="shared" si="2"/>
        <v>0</v>
      </c>
      <c r="H44" s="39">
        <f>VLOOKUP(Tabela2[[#This Row],[PRODUTO]],'CADASTRO PRODUTOS'!A:C,3,0)*Tabela2[[#This Row],[PESO DESPERDÍCIO (Kg)]]</f>
        <v>0</v>
      </c>
      <c r="I44" s="29" t="s">
        <v>31</v>
      </c>
    </row>
    <row r="45" spans="2:9" ht="22" customHeight="1" x14ac:dyDescent="0.2">
      <c r="B45" s="26">
        <v>45926</v>
      </c>
      <c r="C45" s="27" t="s">
        <v>33</v>
      </c>
      <c r="D45" s="12" t="s">
        <v>38</v>
      </c>
      <c r="E45" s="28">
        <f>IFERROR(VLOOKUP(C45,'CADASTRO PRODUTOS'!A:B,2,0),"")</f>
        <v>28.65</v>
      </c>
      <c r="F45" s="29">
        <v>1.772</v>
      </c>
      <c r="G45" s="39">
        <f t="shared" si="2"/>
        <v>50.767800000000001</v>
      </c>
      <c r="H45" s="39">
        <f>VLOOKUP(Tabela2[[#This Row],[PRODUTO]],'CADASTRO PRODUTOS'!A:C,3,0)*Tabela2[[#This Row],[PESO DESPERDÍCIO (Kg)]]</f>
        <v>59.893599999999992</v>
      </c>
      <c r="I45" s="29" t="s">
        <v>11</v>
      </c>
    </row>
    <row r="46" spans="2:9" ht="22" customHeight="1" x14ac:dyDescent="0.2">
      <c r="B46" s="26">
        <v>45927</v>
      </c>
      <c r="C46" s="27" t="s">
        <v>16</v>
      </c>
      <c r="D46" s="12" t="s">
        <v>16</v>
      </c>
      <c r="E46" s="28">
        <f>IFERROR(VLOOKUP(C46,'CADASTRO PRODUTOS'!A:B,2,0),"")</f>
        <v>0</v>
      </c>
      <c r="F46" s="29">
        <v>1.552</v>
      </c>
      <c r="G46" s="39">
        <f t="shared" si="2"/>
        <v>0</v>
      </c>
      <c r="H46" s="39">
        <f>VLOOKUP(Tabela2[[#This Row],[PRODUTO]],'CADASTRO PRODUTOS'!A:C,3,0)*Tabela2[[#This Row],[PESO DESPERDÍCIO (Kg)]]</f>
        <v>0</v>
      </c>
      <c r="I46" s="29" t="s">
        <v>11</v>
      </c>
    </row>
    <row r="47" spans="2:9" ht="22" customHeight="1" x14ac:dyDescent="0.2">
      <c r="B47" s="26">
        <v>45928</v>
      </c>
      <c r="C47" s="27" t="s">
        <v>22</v>
      </c>
      <c r="D47" s="12" t="s">
        <v>39</v>
      </c>
      <c r="E47" s="28">
        <f>IFERROR(VLOOKUP(C47,'CADASTRO PRODUTOS'!A:B,2,0),"")</f>
        <v>7.2</v>
      </c>
      <c r="F47" s="29">
        <v>3.8580000000000001</v>
      </c>
      <c r="G47" s="39">
        <f t="shared" si="2"/>
        <v>27.7776</v>
      </c>
      <c r="H47" s="39">
        <f>VLOOKUP(Tabela2[[#This Row],[PRODUTO]],'CADASTRO PRODUTOS'!A:C,3,0)*Tabela2[[#This Row],[PESO DESPERDÍCIO (Kg)]]</f>
        <v>250.38420000000002</v>
      </c>
      <c r="I47" s="29" t="s">
        <v>11</v>
      </c>
    </row>
    <row r="48" spans="2:9" ht="22" customHeight="1" x14ac:dyDescent="0.2">
      <c r="B48" s="26">
        <v>45930</v>
      </c>
      <c r="C48" s="27" t="s">
        <v>16</v>
      </c>
      <c r="D48" s="12" t="s">
        <v>16</v>
      </c>
      <c r="E48" s="28">
        <f>IFERROR(VLOOKUP(C48,'CADASTRO PRODUTOS'!A:B,2,0),"")</f>
        <v>0</v>
      </c>
      <c r="F48" s="29">
        <v>1.59</v>
      </c>
      <c r="G48" s="39">
        <f t="shared" si="2"/>
        <v>0</v>
      </c>
      <c r="H48" s="39">
        <f>VLOOKUP(Tabela2[[#This Row],[PRODUTO]],'CADASTRO PRODUTOS'!A:C,3,0)*Tabela2[[#This Row],[PESO DESPERDÍCIO (Kg)]]</f>
        <v>0</v>
      </c>
      <c r="I48" s="29" t="s">
        <v>31</v>
      </c>
    </row>
  </sheetData>
  <mergeCells count="1">
    <mergeCell ref="A1:I1"/>
  </mergeCells>
  <dataValidations count="2">
    <dataValidation type="list" allowBlank="1" showInputMessage="1" showErrorMessage="1" sqref="I11:I48" xr:uid="{DD87E50A-51AF-B04F-BB16-7BEFC9A72308}">
      <formula1>"Estragado, Produto errado, Sobras, Sem aproveitamento"</formula1>
    </dataValidation>
    <dataValidation type="list" allowBlank="1" showInputMessage="1" showErrorMessage="1" sqref="D11:D48" xr:uid="{F4D7E72E-370B-F242-A6E5-F65166AD634E}">
      <formula1>"Self service, La carte, Sopas,Sobras clientes"</formula1>
    </dataValidation>
  </dataValidations>
  <pageMargins left="0.511811024" right="0.511811024" top="0.78740157499999996" bottom="0.78740157499999996" header="0.31496062000000002" footer="0.31496062000000002"/>
  <pageSetup paperSize="9" orientation="landscape" horizontalDpi="0" verticalDpi="0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F1111EA-738D-B54F-9089-04ADDE179620}">
          <x14:formula1>
            <xm:f>'CADASTRO PRODUTOS'!$A$5:$A$555</xm:f>
          </x14:formula1>
          <xm:sqref>C11:C48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79320-603F-FB47-8B77-01B118F2C7EA}">
  <dimension ref="A1:I59"/>
  <sheetViews>
    <sheetView topLeftCell="A23" zoomScale="90" zoomScaleNormal="90" workbookViewId="0">
      <selection activeCell="F60" sqref="F60"/>
    </sheetView>
  </sheetViews>
  <sheetFormatPr baseColWidth="10" defaultRowHeight="16" x14ac:dyDescent="0.2"/>
  <cols>
    <col min="1" max="1" width="3.1640625" style="1" customWidth="1"/>
    <col min="2" max="2" width="16.83203125" style="2" customWidth="1"/>
    <col min="3" max="4" width="28.33203125" style="1" customWidth="1"/>
    <col min="5" max="5" width="14.5" style="1" customWidth="1"/>
    <col min="6" max="6" width="23.83203125" style="2" customWidth="1"/>
    <col min="7" max="7" width="21.33203125" style="4" customWidth="1"/>
    <col min="8" max="8" width="27.6640625" style="4" customWidth="1"/>
    <col min="9" max="9" width="25.1640625" style="2" customWidth="1"/>
    <col min="10" max="16384" width="10.83203125" style="1"/>
  </cols>
  <sheetData>
    <row r="1" spans="1:9" ht="31" customHeight="1" x14ac:dyDescent="0.2">
      <c r="A1" s="43" t="s">
        <v>12</v>
      </c>
      <c r="B1" s="44"/>
      <c r="C1" s="44"/>
      <c r="D1" s="44"/>
      <c r="E1" s="44"/>
      <c r="F1" s="44"/>
      <c r="G1" s="44"/>
      <c r="H1" s="44"/>
      <c r="I1" s="45"/>
    </row>
    <row r="3" spans="1:9" x14ac:dyDescent="0.2">
      <c r="B3" s="18" t="s">
        <v>13</v>
      </c>
      <c r="C3" s="15" t="s">
        <v>14</v>
      </c>
      <c r="E3" s="17"/>
      <c r="F3" s="32" t="s">
        <v>29</v>
      </c>
      <c r="G3" s="33">
        <v>0.42</v>
      </c>
      <c r="H3" s="1"/>
    </row>
    <row r="4" spans="1:9" x14ac:dyDescent="0.2">
      <c r="B4" s="18" t="s">
        <v>15</v>
      </c>
      <c r="C4" s="19">
        <v>45931</v>
      </c>
      <c r="E4" s="17"/>
      <c r="F4" s="32" t="s">
        <v>30</v>
      </c>
      <c r="G4" s="34">
        <v>200000</v>
      </c>
      <c r="H4" s="1"/>
    </row>
    <row r="5" spans="1:9" x14ac:dyDescent="0.2">
      <c r="G5" s="41">
        <f>G4*G3</f>
        <v>84000</v>
      </c>
      <c r="H5" s="36"/>
    </row>
    <row r="6" spans="1:9" x14ac:dyDescent="0.2">
      <c r="C6" s="16"/>
      <c r="D6" s="16"/>
      <c r="E6" s="17"/>
      <c r="F6" s="35"/>
    </row>
    <row r="7" spans="1:9" x14ac:dyDescent="0.2">
      <c r="C7" s="10" t="s">
        <v>9</v>
      </c>
      <c r="D7" s="30">
        <f>SUM(G11:G57)</f>
        <v>504.91718000000003</v>
      </c>
      <c r="G7" s="10" t="s">
        <v>34</v>
      </c>
      <c r="H7" s="40">
        <f>SUM(Tabela22[PREÇO DESPERDÍCIO])</f>
        <v>2796.1556000000005</v>
      </c>
      <c r="I7" s="1"/>
    </row>
    <row r="8" spans="1:9" x14ac:dyDescent="0.2">
      <c r="C8" s="10" t="s">
        <v>28</v>
      </c>
      <c r="D8" s="31">
        <f>D7/G5</f>
        <v>6.0109188095238096E-3</v>
      </c>
      <c r="G8" s="10" t="s">
        <v>35</v>
      </c>
      <c r="H8" s="42">
        <f>H7/G4</f>
        <v>1.3980778000000003E-2</v>
      </c>
      <c r="I8" s="1"/>
    </row>
    <row r="10" spans="1:9" ht="34" customHeight="1" x14ac:dyDescent="0.2">
      <c r="B10" s="24" t="s">
        <v>8</v>
      </c>
      <c r="C10" s="24" t="s">
        <v>0</v>
      </c>
      <c r="D10" s="38" t="s">
        <v>37</v>
      </c>
      <c r="E10" s="24" t="s">
        <v>5</v>
      </c>
      <c r="F10" s="25" t="s">
        <v>6</v>
      </c>
      <c r="G10" s="37" t="s">
        <v>3</v>
      </c>
      <c r="H10" s="38" t="s">
        <v>36</v>
      </c>
      <c r="I10" s="24" t="s">
        <v>4</v>
      </c>
    </row>
    <row r="11" spans="1:9" ht="22" customHeight="1" x14ac:dyDescent="0.2">
      <c r="B11" s="20">
        <v>45931</v>
      </c>
      <c r="C11" s="21" t="s">
        <v>16</v>
      </c>
      <c r="D11" s="12" t="s">
        <v>16</v>
      </c>
      <c r="E11" s="22">
        <f>IFERROR(VLOOKUP(C11,'CADASTRO PRODUTOS'!A:B,2,0),"")</f>
        <v>0</v>
      </c>
      <c r="F11" s="23">
        <v>1.8520000000000001</v>
      </c>
      <c r="G11" s="39">
        <f>IFERROR(E11*F11,"")</f>
        <v>0</v>
      </c>
      <c r="H11" s="39">
        <f>IFERROR(VLOOKUP(Tabela22[[#This Row],[PRODUTO]],'CADASTRO PRODUTOS'!A:C,3,0)*Tabela22[[#This Row],[PESO DESPERDÍCIO (Kg)]],"")</f>
        <v>0</v>
      </c>
      <c r="I11" s="23" t="s">
        <v>11</v>
      </c>
    </row>
    <row r="12" spans="1:9" ht="22" customHeight="1" x14ac:dyDescent="0.2">
      <c r="B12" s="11">
        <v>45932</v>
      </c>
      <c r="C12" s="12" t="s">
        <v>33</v>
      </c>
      <c r="D12" s="12" t="s">
        <v>38</v>
      </c>
      <c r="E12" s="14">
        <f>IFERROR(VLOOKUP(C12,'CADASTRO PRODUTOS'!A:B,2,0),"")</f>
        <v>28.65</v>
      </c>
      <c r="F12" s="13">
        <v>3.21</v>
      </c>
      <c r="G12" s="39">
        <f>IFERROR(E12*F12,"")</f>
        <v>91.966499999999996</v>
      </c>
      <c r="H12" s="39">
        <f>IFERROR(VLOOKUP(Tabela22[[#This Row],[PRODUTO]],'CADASTRO PRODUTOS'!A:C,3,0)*Tabela22[[#This Row],[PESO DESPERDÍCIO (Kg)]],"")</f>
        <v>108.49799999999999</v>
      </c>
      <c r="I12" s="13" t="s">
        <v>11</v>
      </c>
    </row>
    <row r="13" spans="1:9" ht="22" customHeight="1" x14ac:dyDescent="0.2">
      <c r="B13" s="11">
        <v>45932</v>
      </c>
      <c r="C13" s="12" t="s">
        <v>40</v>
      </c>
      <c r="D13" s="12" t="s">
        <v>38</v>
      </c>
      <c r="E13" s="14">
        <f>IFERROR(VLOOKUP(C13,'CADASTRO PRODUTOS'!A:B,2,0),"")</f>
        <v>4.5199999999999996</v>
      </c>
      <c r="F13" s="13">
        <v>3.1640000000000001</v>
      </c>
      <c r="G13" s="39">
        <f t="shared" ref="G13:G39" si="0">IFERROR(E13*F13,"")</f>
        <v>14.301279999999998</v>
      </c>
      <c r="H13" s="39">
        <f>IFERROR(VLOOKUP(Tabela22[[#This Row],[PRODUTO]],'CADASTRO PRODUTOS'!A:C,3,0)*Tabela22[[#This Row],[PESO DESPERDÍCIO (Kg)]],"")</f>
        <v>94.287200000000013</v>
      </c>
      <c r="I13" s="13" t="s">
        <v>11</v>
      </c>
    </row>
    <row r="14" spans="1:9" ht="22" customHeight="1" x14ac:dyDescent="0.2">
      <c r="B14" s="11">
        <v>45932</v>
      </c>
      <c r="C14" s="12" t="s">
        <v>41</v>
      </c>
      <c r="D14" s="12" t="s">
        <v>38</v>
      </c>
      <c r="E14" s="14">
        <f>IFERROR(VLOOKUP(C14,'CADASTRO PRODUTOS'!A:B,2,0),"")</f>
        <v>0</v>
      </c>
      <c r="F14" s="13">
        <v>0.37</v>
      </c>
      <c r="G14" s="39">
        <f t="shared" si="0"/>
        <v>0</v>
      </c>
      <c r="H14" s="39">
        <f>IFERROR(VLOOKUP(Tabela22[[#This Row],[PRODUTO]],'CADASTRO PRODUTOS'!A:C,3,0)*Tabela22[[#This Row],[PESO DESPERDÍCIO (Kg)]],"")</f>
        <v>24.013000000000002</v>
      </c>
      <c r="I14" s="13" t="s">
        <v>32</v>
      </c>
    </row>
    <row r="15" spans="1:9" ht="22" customHeight="1" x14ac:dyDescent="0.2">
      <c r="B15" s="11">
        <v>45932</v>
      </c>
      <c r="C15" s="12" t="s">
        <v>16</v>
      </c>
      <c r="D15" s="12" t="s">
        <v>16</v>
      </c>
      <c r="E15" s="14">
        <f>IFERROR(VLOOKUP(C15,'CADASTRO PRODUTOS'!A:B,2,0),"")</f>
        <v>0</v>
      </c>
      <c r="F15" s="13">
        <v>1.8380000000000001</v>
      </c>
      <c r="G15" s="39">
        <f t="shared" si="0"/>
        <v>0</v>
      </c>
      <c r="H15" s="39">
        <f>IFERROR(VLOOKUP(Tabela22[[#This Row],[PRODUTO]],'CADASTRO PRODUTOS'!A:C,3,0)*Tabela22[[#This Row],[PESO DESPERDÍCIO (Kg)]],"")</f>
        <v>0</v>
      </c>
      <c r="I15" s="13" t="s">
        <v>31</v>
      </c>
    </row>
    <row r="16" spans="1:9" ht="22" customHeight="1" x14ac:dyDescent="0.2">
      <c r="B16" s="11">
        <v>45933</v>
      </c>
      <c r="C16" s="12" t="s">
        <v>16</v>
      </c>
      <c r="D16" s="12" t="s">
        <v>16</v>
      </c>
      <c r="E16" s="14">
        <f>IFERROR(VLOOKUP(C16,'CADASTRO PRODUTOS'!A:B,2,0),"")</f>
        <v>0</v>
      </c>
      <c r="F16" s="13">
        <v>3.1360000000000001</v>
      </c>
      <c r="G16" s="39">
        <f t="shared" si="0"/>
        <v>0</v>
      </c>
      <c r="H16" s="39">
        <f>IFERROR(VLOOKUP(Tabela22[[#This Row],[PRODUTO]],'CADASTRO PRODUTOS'!A:C,3,0)*Tabela22[[#This Row],[PESO DESPERDÍCIO (Kg)]],"")</f>
        <v>0</v>
      </c>
      <c r="I16" s="13" t="s">
        <v>31</v>
      </c>
    </row>
    <row r="17" spans="2:9" ht="22" customHeight="1" x14ac:dyDescent="0.2">
      <c r="B17" s="11">
        <v>45936</v>
      </c>
      <c r="C17" s="12" t="s">
        <v>16</v>
      </c>
      <c r="D17" s="12" t="s">
        <v>16</v>
      </c>
      <c r="E17" s="14">
        <f>IFERROR(VLOOKUP(C17,'CADASTRO PRODUTOS'!A:B,2,0),"")</f>
        <v>0</v>
      </c>
      <c r="F17" s="13">
        <v>2.16</v>
      </c>
      <c r="G17" s="39">
        <f t="shared" si="0"/>
        <v>0</v>
      </c>
      <c r="H17" s="39">
        <f>IFERROR(VLOOKUP(Tabela22[[#This Row],[PRODUTO]],'CADASTRO PRODUTOS'!A:C,3,0)*Tabela22[[#This Row],[PESO DESPERDÍCIO (Kg)]],"")</f>
        <v>0</v>
      </c>
      <c r="I17" s="13" t="s">
        <v>31</v>
      </c>
    </row>
    <row r="18" spans="2:9" ht="22" customHeight="1" x14ac:dyDescent="0.2">
      <c r="B18" s="11">
        <v>45939</v>
      </c>
      <c r="C18" s="12" t="s">
        <v>16</v>
      </c>
      <c r="D18" s="12" t="s">
        <v>16</v>
      </c>
      <c r="E18" s="14">
        <f>IFERROR(VLOOKUP(C18,'CADASTRO PRODUTOS'!A:B,2,0),"")</f>
        <v>0</v>
      </c>
      <c r="F18" s="13">
        <v>1.456</v>
      </c>
      <c r="G18" s="39">
        <f t="shared" si="0"/>
        <v>0</v>
      </c>
      <c r="H18" s="39">
        <f>IFERROR(VLOOKUP(Tabela22[[#This Row],[PRODUTO]],'CADASTRO PRODUTOS'!A:C,3,0)*Tabela22[[#This Row],[PESO DESPERDÍCIO (Kg)]],"")</f>
        <v>0</v>
      </c>
      <c r="I18" s="13" t="s">
        <v>31</v>
      </c>
    </row>
    <row r="19" spans="2:9" ht="22" customHeight="1" x14ac:dyDescent="0.2">
      <c r="B19" s="11">
        <v>45939</v>
      </c>
      <c r="C19" s="12" t="s">
        <v>27</v>
      </c>
      <c r="D19" s="12" t="s">
        <v>39</v>
      </c>
      <c r="E19" s="14">
        <f>IFERROR(VLOOKUP(C19,'CADASTRO PRODUTOS'!A:B,2,0),"")</f>
        <v>6.1</v>
      </c>
      <c r="F19" s="13">
        <v>1.3819999999999999</v>
      </c>
      <c r="G19" s="39">
        <f t="shared" si="0"/>
        <v>8.4301999999999992</v>
      </c>
      <c r="H19" s="39">
        <f>IFERROR(VLOOKUP(Tabela22[[#This Row],[PRODUTO]],'CADASTRO PRODUTOS'!A:C,3,0)*Tabela22[[#This Row],[PESO DESPERDÍCIO (Kg)]],"")</f>
        <v>89.691800000000001</v>
      </c>
      <c r="I19" s="13" t="s">
        <v>11</v>
      </c>
    </row>
    <row r="20" spans="2:9" ht="22" customHeight="1" x14ac:dyDescent="0.2">
      <c r="B20" s="11">
        <v>45939</v>
      </c>
      <c r="C20" s="12" t="s">
        <v>33</v>
      </c>
      <c r="D20" s="12" t="s">
        <v>38</v>
      </c>
      <c r="E20" s="14">
        <f>IFERROR(VLOOKUP(C20,'CADASTRO PRODUTOS'!A:B,2,0),"")</f>
        <v>28.65</v>
      </c>
      <c r="F20" s="13">
        <v>2.2759999999999998</v>
      </c>
      <c r="G20" s="39">
        <f t="shared" si="0"/>
        <v>65.207399999999993</v>
      </c>
      <c r="H20" s="39">
        <f>IFERROR(VLOOKUP(Tabela22[[#This Row],[PRODUTO]],'CADASTRO PRODUTOS'!A:C,3,0)*Tabela22[[#This Row],[PESO DESPERDÍCIO (Kg)]],"")</f>
        <v>76.928799999999981</v>
      </c>
      <c r="I20" s="13" t="s">
        <v>11</v>
      </c>
    </row>
    <row r="21" spans="2:9" ht="22" customHeight="1" x14ac:dyDescent="0.2">
      <c r="B21" s="11">
        <v>45940</v>
      </c>
      <c r="C21" s="12" t="s">
        <v>16</v>
      </c>
      <c r="D21" s="12" t="s">
        <v>16</v>
      </c>
      <c r="E21" s="14">
        <f>IFERROR(VLOOKUP(C21,'CADASTRO PRODUTOS'!A:B,2,0),"")</f>
        <v>0</v>
      </c>
      <c r="F21" s="13">
        <v>2.004</v>
      </c>
      <c r="G21" s="39">
        <f t="shared" si="0"/>
        <v>0</v>
      </c>
      <c r="H21" s="39">
        <f>IFERROR(VLOOKUP(Tabela22[[#This Row],[PRODUTO]],'CADASTRO PRODUTOS'!A:C,3,0)*Tabela22[[#This Row],[PESO DESPERDÍCIO (Kg)]],"")</f>
        <v>0</v>
      </c>
      <c r="I21" s="13" t="s">
        <v>31</v>
      </c>
    </row>
    <row r="22" spans="2:9" ht="22" customHeight="1" x14ac:dyDescent="0.2">
      <c r="B22" s="11">
        <v>45942</v>
      </c>
      <c r="C22" s="12" t="s">
        <v>2</v>
      </c>
      <c r="D22" s="12" t="s">
        <v>39</v>
      </c>
      <c r="E22" s="14">
        <f>IFERROR(VLOOKUP(C22,'CADASTRO PRODUTOS'!A:B,2,0),"")</f>
        <v>12.54</v>
      </c>
      <c r="F22" s="13">
        <v>2.0779999999999998</v>
      </c>
      <c r="G22" s="39">
        <f t="shared" si="0"/>
        <v>26.058119999999995</v>
      </c>
      <c r="H22" s="39">
        <f>IFERROR(VLOOKUP(Tabela22[[#This Row],[PRODUTO]],'CADASTRO PRODUTOS'!A:C,3,0)*Tabela22[[#This Row],[PESO DESPERDÍCIO (Kg)]],"")</f>
        <v>134.8622</v>
      </c>
      <c r="I22" s="13" t="s">
        <v>11</v>
      </c>
    </row>
    <row r="23" spans="2:9" ht="22" customHeight="1" x14ac:dyDescent="0.2">
      <c r="B23" s="11">
        <v>45942</v>
      </c>
      <c r="C23" s="12" t="s">
        <v>16</v>
      </c>
      <c r="D23" s="12" t="s">
        <v>16</v>
      </c>
      <c r="E23" s="14">
        <f>IFERROR(VLOOKUP(C23,'CADASTRO PRODUTOS'!A:B,2,0),"")</f>
        <v>0</v>
      </c>
      <c r="F23" s="13">
        <v>2.4980000000000002</v>
      </c>
      <c r="G23" s="39">
        <f t="shared" si="0"/>
        <v>0</v>
      </c>
      <c r="H23" s="39">
        <f>IFERROR(VLOOKUP(Tabela22[[#This Row],[PRODUTO]],'CADASTRO PRODUTOS'!A:C,3,0)*Tabela22[[#This Row],[PESO DESPERDÍCIO (Kg)]],"")</f>
        <v>0</v>
      </c>
      <c r="I23" s="13" t="s">
        <v>31</v>
      </c>
    </row>
    <row r="24" spans="2:9" ht="22" customHeight="1" x14ac:dyDescent="0.2">
      <c r="B24" s="11">
        <v>45943</v>
      </c>
      <c r="C24" s="12" t="s">
        <v>27</v>
      </c>
      <c r="D24" s="12" t="s">
        <v>39</v>
      </c>
      <c r="E24" s="14">
        <f>IFERROR(VLOOKUP(C24,'CADASTRO PRODUTOS'!A:B,2,0),"")</f>
        <v>6.1</v>
      </c>
      <c r="F24" s="13">
        <v>1.8140000000000001</v>
      </c>
      <c r="G24" s="39">
        <f t="shared" si="0"/>
        <v>11.0654</v>
      </c>
      <c r="H24" s="39">
        <f>IFERROR(VLOOKUP(Tabela22[[#This Row],[PRODUTO]],'CADASTRO PRODUTOS'!A:C,3,0)*Tabela22[[#This Row],[PESO DESPERDÍCIO (Kg)]],"")</f>
        <v>117.72860000000001</v>
      </c>
      <c r="I24" s="13" t="s">
        <v>11</v>
      </c>
    </row>
    <row r="25" spans="2:9" ht="22" customHeight="1" x14ac:dyDescent="0.2">
      <c r="B25" s="11">
        <v>45944</v>
      </c>
      <c r="C25" s="12" t="s">
        <v>22</v>
      </c>
      <c r="D25" s="12" t="s">
        <v>39</v>
      </c>
      <c r="E25" s="14">
        <f>IFERROR(VLOOKUP(C25,'CADASTRO PRODUTOS'!A:B,2,0),"")</f>
        <v>7.2</v>
      </c>
      <c r="F25" s="13">
        <v>1.6819999999999999</v>
      </c>
      <c r="G25" s="39">
        <f t="shared" si="0"/>
        <v>12.1104</v>
      </c>
      <c r="H25" s="39">
        <f>IFERROR(VLOOKUP(Tabela22[[#This Row],[PRODUTO]],'CADASTRO PRODUTOS'!A:C,3,0)*Tabela22[[#This Row],[PESO DESPERDÍCIO (Kg)]],"")</f>
        <v>109.1618</v>
      </c>
      <c r="I25" s="13" t="s">
        <v>11</v>
      </c>
    </row>
    <row r="26" spans="2:9" ht="22" customHeight="1" x14ac:dyDescent="0.2">
      <c r="B26" s="11">
        <v>45944</v>
      </c>
      <c r="C26" s="12" t="s">
        <v>16</v>
      </c>
      <c r="D26" s="12" t="s">
        <v>16</v>
      </c>
      <c r="E26" s="14">
        <f>IFERROR(VLOOKUP(C26,'CADASTRO PRODUTOS'!A:B,2,0),"")</f>
        <v>0</v>
      </c>
      <c r="F26" s="13">
        <v>2.758</v>
      </c>
      <c r="G26" s="39">
        <f t="shared" si="0"/>
        <v>0</v>
      </c>
      <c r="H26" s="39">
        <f>IFERROR(VLOOKUP(Tabela22[[#This Row],[PRODUTO]],'CADASTRO PRODUTOS'!A:C,3,0)*Tabela22[[#This Row],[PESO DESPERDÍCIO (Kg)]],"")</f>
        <v>0</v>
      </c>
      <c r="I26" s="13" t="s">
        <v>31</v>
      </c>
    </row>
    <row r="27" spans="2:9" ht="22" customHeight="1" x14ac:dyDescent="0.2">
      <c r="B27" s="11">
        <v>45945</v>
      </c>
      <c r="C27" s="12" t="s">
        <v>42</v>
      </c>
      <c r="D27" s="12" t="s">
        <v>39</v>
      </c>
      <c r="E27" s="14">
        <f>IFERROR(VLOOKUP(C27,'CADASTRO PRODUTOS'!A:B,2,0),"")</f>
        <v>0</v>
      </c>
      <c r="F27" s="13">
        <v>1.774</v>
      </c>
      <c r="G27" s="39">
        <f t="shared" si="0"/>
        <v>0</v>
      </c>
      <c r="H27" s="39">
        <f>IFERROR(VLOOKUP(Tabela22[[#This Row],[PRODUTO]],'CADASTRO PRODUTOS'!A:C,3,0)*Tabela22[[#This Row],[PESO DESPERDÍCIO (Kg)]],"")</f>
        <v>115.13260000000001</v>
      </c>
      <c r="I27" s="13" t="s">
        <v>11</v>
      </c>
    </row>
    <row r="28" spans="2:9" ht="22" customHeight="1" x14ac:dyDescent="0.2">
      <c r="B28" s="11">
        <v>45945</v>
      </c>
      <c r="C28" s="12" t="s">
        <v>43</v>
      </c>
      <c r="D28" s="12" t="s">
        <v>39</v>
      </c>
      <c r="E28" s="14">
        <f>IFERROR(VLOOKUP(C28,'CADASTRO PRODUTOS'!A:B,2,0),"")</f>
        <v>0</v>
      </c>
      <c r="F28" s="13">
        <v>1.4419999999999999</v>
      </c>
      <c r="G28" s="39">
        <f t="shared" si="0"/>
        <v>0</v>
      </c>
      <c r="H28" s="39">
        <f>IFERROR(VLOOKUP(Tabela22[[#This Row],[PRODUTO]],'CADASTRO PRODUTOS'!A:C,3,0)*Tabela22[[#This Row],[PESO DESPERDÍCIO (Kg)]],"")</f>
        <v>93.585800000000006</v>
      </c>
      <c r="I28" s="13" t="s">
        <v>11</v>
      </c>
    </row>
    <row r="29" spans="2:9" ht="22" customHeight="1" x14ac:dyDescent="0.2">
      <c r="B29" s="11">
        <v>45945</v>
      </c>
      <c r="C29" s="12" t="s">
        <v>16</v>
      </c>
      <c r="D29" s="12" t="s">
        <v>16</v>
      </c>
      <c r="E29" s="14">
        <f>IFERROR(VLOOKUP(C29,'CADASTRO PRODUTOS'!A:B,2,0),"")</f>
        <v>0</v>
      </c>
      <c r="F29" s="13">
        <v>2.2679999999999998</v>
      </c>
      <c r="G29" s="39">
        <f t="shared" si="0"/>
        <v>0</v>
      </c>
      <c r="H29" s="39">
        <f>IFERROR(VLOOKUP(Tabela22[[#This Row],[PRODUTO]],'CADASTRO PRODUTOS'!A:C,3,0)*Tabela22[[#This Row],[PESO DESPERDÍCIO (Kg)]],"")</f>
        <v>0</v>
      </c>
      <c r="I29" s="13" t="s">
        <v>31</v>
      </c>
    </row>
    <row r="30" spans="2:9" ht="22" customHeight="1" x14ac:dyDescent="0.2">
      <c r="B30" s="11">
        <v>45946</v>
      </c>
      <c r="C30" s="12" t="s">
        <v>27</v>
      </c>
      <c r="D30" s="12" t="s">
        <v>39</v>
      </c>
      <c r="E30" s="14">
        <f>IFERROR(VLOOKUP(C30,'CADASTRO PRODUTOS'!A:B,2,0),"")</f>
        <v>6.1</v>
      </c>
      <c r="F30" s="13">
        <v>0.95799999999999996</v>
      </c>
      <c r="G30" s="39">
        <f t="shared" si="0"/>
        <v>5.843799999999999</v>
      </c>
      <c r="H30" s="39">
        <f>IFERROR(VLOOKUP(Tabela22[[#This Row],[PRODUTO]],'CADASTRO PRODUTOS'!A:C,3,0)*Tabela22[[#This Row],[PESO DESPERDÍCIO (Kg)]],"")</f>
        <v>62.174200000000006</v>
      </c>
      <c r="I30" s="13" t="s">
        <v>11</v>
      </c>
    </row>
    <row r="31" spans="2:9" ht="22" customHeight="1" x14ac:dyDescent="0.2">
      <c r="B31" s="11">
        <v>45946</v>
      </c>
      <c r="C31" s="12" t="s">
        <v>16</v>
      </c>
      <c r="D31" s="12" t="s">
        <v>16</v>
      </c>
      <c r="E31" s="14">
        <f>IFERROR(VLOOKUP(C31,'CADASTRO PRODUTOS'!A:B,2,0),"")</f>
        <v>0</v>
      </c>
      <c r="F31" s="13">
        <v>1.46</v>
      </c>
      <c r="G31" s="39">
        <f t="shared" si="0"/>
        <v>0</v>
      </c>
      <c r="H31" s="39">
        <f>IFERROR(VLOOKUP(Tabela22[[#This Row],[PRODUTO]],'CADASTRO PRODUTOS'!A:C,3,0)*Tabela22[[#This Row],[PESO DESPERDÍCIO (Kg)]],"")</f>
        <v>0</v>
      </c>
      <c r="I31" s="13" t="s">
        <v>31</v>
      </c>
    </row>
    <row r="32" spans="2:9" ht="22" customHeight="1" x14ac:dyDescent="0.2">
      <c r="B32" s="26">
        <v>45946</v>
      </c>
      <c r="C32" s="27" t="s">
        <v>25</v>
      </c>
      <c r="D32" s="12" t="s">
        <v>39</v>
      </c>
      <c r="E32" s="28">
        <f>IFERROR(VLOOKUP(C32,'CADASTRO PRODUTOS'!A:B,2,0),"")</f>
        <v>28</v>
      </c>
      <c r="F32" s="29">
        <v>0.30599999999999999</v>
      </c>
      <c r="G32" s="39">
        <f t="shared" si="0"/>
        <v>8.5679999999999996</v>
      </c>
      <c r="H32" s="39">
        <f>IFERROR(VLOOKUP(Tabela22[[#This Row],[PRODUTO]],'CADASTRO PRODUTOS'!A:C,3,0)*Tabela22[[#This Row],[PESO DESPERDÍCIO (Kg)]],"")</f>
        <v>19.859400000000001</v>
      </c>
      <c r="I32" s="29" t="s">
        <v>11</v>
      </c>
    </row>
    <row r="33" spans="2:9" ht="22" customHeight="1" x14ac:dyDescent="0.2">
      <c r="B33" s="26">
        <v>45946</v>
      </c>
      <c r="C33" s="27" t="s">
        <v>7</v>
      </c>
      <c r="D33" s="12" t="s">
        <v>39</v>
      </c>
      <c r="E33" s="28">
        <f>IFERROR(VLOOKUP(C33,'CADASTRO PRODUTOS'!A:B,2,0),"")</f>
        <v>2.44</v>
      </c>
      <c r="F33" s="29">
        <v>2.8220000000000001</v>
      </c>
      <c r="G33" s="39">
        <f t="shared" si="0"/>
        <v>6.8856799999999998</v>
      </c>
      <c r="H33" s="39">
        <f>IFERROR(VLOOKUP(Tabela22[[#This Row],[PRODUTO]],'CADASTRO PRODUTOS'!A:C,3,0)*Tabela22[[#This Row],[PESO DESPERDÍCIO (Kg)]],"")</f>
        <v>183.14780000000002</v>
      </c>
      <c r="I33" s="29" t="s">
        <v>11</v>
      </c>
    </row>
    <row r="34" spans="2:9" ht="22" customHeight="1" x14ac:dyDescent="0.2">
      <c r="B34" s="26">
        <v>45946</v>
      </c>
      <c r="C34" s="27" t="s">
        <v>23</v>
      </c>
      <c r="D34" s="12" t="s">
        <v>39</v>
      </c>
      <c r="E34" s="28">
        <f>IFERROR(VLOOKUP(C34,'CADASTRO PRODUTOS'!A:B,2,0),"")</f>
        <v>14.95</v>
      </c>
      <c r="F34" s="29">
        <v>0.622</v>
      </c>
      <c r="G34" s="39">
        <f t="shared" si="0"/>
        <v>9.2988999999999997</v>
      </c>
      <c r="H34" s="39">
        <f>IFERROR(VLOOKUP(Tabela22[[#This Row],[PRODUTO]],'CADASTRO PRODUTOS'!A:C,3,0)*Tabela22[[#This Row],[PESO DESPERDÍCIO (Kg)]],"")</f>
        <v>40.367800000000003</v>
      </c>
      <c r="I34" s="29" t="s">
        <v>32</v>
      </c>
    </row>
    <row r="35" spans="2:9" ht="22" customHeight="1" x14ac:dyDescent="0.2">
      <c r="B35" s="26">
        <v>45947</v>
      </c>
      <c r="C35" s="27" t="s">
        <v>44</v>
      </c>
      <c r="D35" s="12" t="s">
        <v>39</v>
      </c>
      <c r="E35" s="28">
        <f>IFERROR(VLOOKUP(C35,'CADASTRO PRODUTOS'!A:B,2,0),"")</f>
        <v>0</v>
      </c>
      <c r="F35" s="29">
        <v>0.33400000000000002</v>
      </c>
      <c r="G35" s="39">
        <f t="shared" si="0"/>
        <v>0</v>
      </c>
      <c r="H35" s="39">
        <f>IFERROR(VLOOKUP(Tabela22[[#This Row],[PRODUTO]],'CADASTRO PRODUTOS'!A:C,3,0)*Tabela22[[#This Row],[PESO DESPERDÍCIO (Kg)]],"")</f>
        <v>21.676600000000004</v>
      </c>
      <c r="I35" s="29" t="s">
        <v>11</v>
      </c>
    </row>
    <row r="36" spans="2:9" ht="22" customHeight="1" x14ac:dyDescent="0.2">
      <c r="B36" s="26">
        <v>45947</v>
      </c>
      <c r="C36" s="27" t="s">
        <v>16</v>
      </c>
      <c r="D36" s="12" t="s">
        <v>16</v>
      </c>
      <c r="E36" s="28">
        <f>IFERROR(VLOOKUP(C36,'CADASTRO PRODUTOS'!A:B,2,0),"")</f>
        <v>0</v>
      </c>
      <c r="F36" s="29">
        <v>1.806</v>
      </c>
      <c r="G36" s="39">
        <f t="shared" si="0"/>
        <v>0</v>
      </c>
      <c r="H36" s="39">
        <f>IFERROR(VLOOKUP(Tabela22[[#This Row],[PRODUTO]],'CADASTRO PRODUTOS'!A:C,3,0)*Tabela22[[#This Row],[PESO DESPERDÍCIO (Kg)]],"")</f>
        <v>0</v>
      </c>
      <c r="I36" s="29" t="s">
        <v>31</v>
      </c>
    </row>
    <row r="37" spans="2:9" ht="22" customHeight="1" x14ac:dyDescent="0.2">
      <c r="B37" s="26">
        <v>45948</v>
      </c>
      <c r="C37" s="27" t="s">
        <v>22</v>
      </c>
      <c r="D37" s="12" t="s">
        <v>39</v>
      </c>
      <c r="E37" s="28">
        <f>IFERROR(VLOOKUP(C37,'CADASTRO PRODUTOS'!A:B,2,0),"")</f>
        <v>7.2</v>
      </c>
      <c r="F37" s="29">
        <v>2.3559999999999999</v>
      </c>
      <c r="G37" s="39">
        <f t="shared" si="0"/>
        <v>16.963200000000001</v>
      </c>
      <c r="H37" s="39">
        <f>IFERROR(VLOOKUP(Tabela22[[#This Row],[PRODUTO]],'CADASTRO PRODUTOS'!A:C,3,0)*Tabela22[[#This Row],[PESO DESPERDÍCIO (Kg)]],"")</f>
        <v>152.90440000000001</v>
      </c>
      <c r="I37" s="29" t="s">
        <v>11</v>
      </c>
    </row>
    <row r="38" spans="2:9" ht="22" customHeight="1" x14ac:dyDescent="0.2">
      <c r="B38" s="26">
        <v>45948</v>
      </c>
      <c r="C38" s="27" t="s">
        <v>16</v>
      </c>
      <c r="D38" s="12" t="s">
        <v>16</v>
      </c>
      <c r="E38" s="28">
        <f>IFERROR(VLOOKUP(C38,'CADASTRO PRODUTOS'!A:B,2,0),"")</f>
        <v>0</v>
      </c>
      <c r="F38" s="29">
        <v>2.2959999999999998</v>
      </c>
      <c r="G38" s="39">
        <f t="shared" si="0"/>
        <v>0</v>
      </c>
      <c r="H38" s="39">
        <f>IFERROR(VLOOKUP(Tabela22[[#This Row],[PRODUTO]],'CADASTRO PRODUTOS'!A:C,3,0)*Tabela22[[#This Row],[PESO DESPERDÍCIO (Kg)]],"")</f>
        <v>0</v>
      </c>
      <c r="I38" s="29" t="s">
        <v>31</v>
      </c>
    </row>
    <row r="39" spans="2:9" ht="22" customHeight="1" x14ac:dyDescent="0.2">
      <c r="B39" s="26">
        <v>45948</v>
      </c>
      <c r="C39" s="27" t="s">
        <v>23</v>
      </c>
      <c r="D39" s="12" t="s">
        <v>39</v>
      </c>
      <c r="E39" s="28">
        <f>IFERROR(VLOOKUP(C39,'CADASTRO PRODUTOS'!A:B,2,0),"")</f>
        <v>14.95</v>
      </c>
      <c r="F39" s="29">
        <v>0.48199999999999998</v>
      </c>
      <c r="G39" s="39">
        <f t="shared" si="0"/>
        <v>7.2058999999999997</v>
      </c>
      <c r="H39" s="39">
        <f>IFERROR(VLOOKUP(Tabela22[[#This Row],[PRODUTO]],'CADASTRO PRODUTOS'!A:C,3,0)*Tabela22[[#This Row],[PESO DESPERDÍCIO (Kg)]],"")</f>
        <v>31.2818</v>
      </c>
      <c r="I39" s="29" t="s">
        <v>32</v>
      </c>
    </row>
    <row r="40" spans="2:9" ht="22" customHeight="1" x14ac:dyDescent="0.2">
      <c r="B40" s="26">
        <v>45948</v>
      </c>
      <c r="C40" s="27" t="s">
        <v>25</v>
      </c>
      <c r="D40" s="12" t="s">
        <v>39</v>
      </c>
      <c r="E40" s="28">
        <f>IFERROR(VLOOKUP(C40,'CADASTRO PRODUTOS'!A:B,2,0),"")</f>
        <v>28</v>
      </c>
      <c r="F40" s="29">
        <v>1.1299999999999999</v>
      </c>
      <c r="G40" s="39">
        <f t="shared" ref="G40:G48" si="1">IFERROR(E40*F40,"")</f>
        <v>31.639999999999997</v>
      </c>
      <c r="H40" s="39">
        <f>IFERROR(VLOOKUP(Tabela22[[#This Row],[PRODUTO]],'CADASTRO PRODUTOS'!A:C,3,0)*Tabela22[[#This Row],[PESO DESPERDÍCIO (Kg)]],"")</f>
        <v>73.337000000000003</v>
      </c>
      <c r="I40" s="29" t="s">
        <v>11</v>
      </c>
    </row>
    <row r="41" spans="2:9" ht="22" customHeight="1" x14ac:dyDescent="0.2">
      <c r="B41" s="26">
        <v>45952</v>
      </c>
      <c r="C41" s="27" t="s">
        <v>16</v>
      </c>
      <c r="D41" s="12" t="s">
        <v>16</v>
      </c>
      <c r="E41" s="28">
        <f>IFERROR(VLOOKUP(C41,'CADASTRO PRODUTOS'!A:B,2,0),"")</f>
        <v>0</v>
      </c>
      <c r="F41" s="29">
        <v>1.82</v>
      </c>
      <c r="G41" s="39">
        <f t="shared" si="1"/>
        <v>0</v>
      </c>
      <c r="H41" s="39">
        <f>IFERROR(VLOOKUP(Tabela22[[#This Row],[PRODUTO]],'CADASTRO PRODUTOS'!A:C,3,0)*Tabela22[[#This Row],[PESO DESPERDÍCIO (Kg)]],"")</f>
        <v>0</v>
      </c>
      <c r="I41" s="29" t="s">
        <v>31</v>
      </c>
    </row>
    <row r="42" spans="2:9" ht="22" customHeight="1" x14ac:dyDescent="0.2">
      <c r="B42" s="26">
        <v>45952</v>
      </c>
      <c r="C42" s="27" t="s">
        <v>20</v>
      </c>
      <c r="D42" s="12" t="s">
        <v>39</v>
      </c>
      <c r="E42" s="28">
        <f>IFERROR(VLOOKUP(C42,'CADASTRO PRODUTOS'!A:B,2,0),"")</f>
        <v>17</v>
      </c>
      <c r="F42" s="29">
        <v>0.53200000000000003</v>
      </c>
      <c r="G42" s="39">
        <f t="shared" si="1"/>
        <v>9.0440000000000005</v>
      </c>
      <c r="H42" s="39">
        <f>IFERROR(VLOOKUP(Tabela22[[#This Row],[PRODUTO]],'CADASTRO PRODUTOS'!A:C,3,0)*Tabela22[[#This Row],[PESO DESPERDÍCIO (Kg)]],"")</f>
        <v>34.526800000000001</v>
      </c>
      <c r="I42" s="29" t="s">
        <v>32</v>
      </c>
    </row>
    <row r="43" spans="2:9" ht="22" customHeight="1" x14ac:dyDescent="0.2">
      <c r="B43" s="26">
        <v>45952</v>
      </c>
      <c r="C43" s="27" t="s">
        <v>44</v>
      </c>
      <c r="D43" s="12" t="s">
        <v>39</v>
      </c>
      <c r="E43" s="28">
        <f>IFERROR(VLOOKUP(C43,'CADASTRO PRODUTOS'!A:B,2,0),"")</f>
        <v>0</v>
      </c>
      <c r="F43" s="29">
        <v>0.432</v>
      </c>
      <c r="G43" s="39">
        <f t="shared" si="1"/>
        <v>0</v>
      </c>
      <c r="H43" s="39">
        <f>IFERROR(VLOOKUP(Tabela22[[#This Row],[PRODUTO]],'CADASTRO PRODUTOS'!A:C,3,0)*Tabela22[[#This Row],[PESO DESPERDÍCIO (Kg)]],"")</f>
        <v>28.036800000000003</v>
      </c>
      <c r="I43" s="29" t="s">
        <v>11</v>
      </c>
    </row>
    <row r="44" spans="2:9" ht="22" customHeight="1" x14ac:dyDescent="0.2">
      <c r="B44" s="26">
        <v>45953</v>
      </c>
      <c r="C44" s="27" t="s">
        <v>16</v>
      </c>
      <c r="D44" s="12" t="s">
        <v>16</v>
      </c>
      <c r="E44" s="28">
        <f>IFERROR(VLOOKUP(C44,'CADASTRO PRODUTOS'!A:B,2,0),"")</f>
        <v>0</v>
      </c>
      <c r="F44" s="29">
        <v>1.44</v>
      </c>
      <c r="G44" s="39">
        <f t="shared" si="1"/>
        <v>0</v>
      </c>
      <c r="H44" s="39">
        <f>IFERROR(VLOOKUP(Tabela22[[#This Row],[PRODUTO]],'CADASTRO PRODUTOS'!A:C,3,0)*Tabela22[[#This Row],[PESO DESPERDÍCIO (Kg)]],"")</f>
        <v>0</v>
      </c>
      <c r="I44" s="29" t="s">
        <v>31</v>
      </c>
    </row>
    <row r="45" spans="2:9" ht="22" customHeight="1" x14ac:dyDescent="0.2">
      <c r="B45" s="26">
        <v>45953</v>
      </c>
      <c r="C45" s="27" t="s">
        <v>22</v>
      </c>
      <c r="D45" s="12" t="s">
        <v>39</v>
      </c>
      <c r="E45" s="28">
        <f>IFERROR(VLOOKUP(C45,'CADASTRO PRODUTOS'!A:B,2,0),"")</f>
        <v>7.2</v>
      </c>
      <c r="F45" s="29">
        <v>2.8180000000000001</v>
      </c>
      <c r="G45" s="39">
        <f t="shared" si="1"/>
        <v>20.2896</v>
      </c>
      <c r="H45" s="39">
        <f>IFERROR(VLOOKUP(Tabela22[[#This Row],[PRODUTO]],'CADASTRO PRODUTOS'!A:C,3,0)*Tabela22[[#This Row],[PESO DESPERDÍCIO (Kg)]],"")</f>
        <v>182.88820000000001</v>
      </c>
      <c r="I45" s="29" t="s">
        <v>11</v>
      </c>
    </row>
    <row r="46" spans="2:9" ht="22" customHeight="1" x14ac:dyDescent="0.2">
      <c r="B46" s="26">
        <v>45953</v>
      </c>
      <c r="C46" s="27" t="s">
        <v>27</v>
      </c>
      <c r="D46" s="12" t="s">
        <v>39</v>
      </c>
      <c r="E46" s="28">
        <f>IFERROR(VLOOKUP(C46,'CADASTRO PRODUTOS'!A:B,2,0),"")</f>
        <v>6.1</v>
      </c>
      <c r="F46" s="29">
        <v>3.1419999999999999</v>
      </c>
      <c r="G46" s="39">
        <f t="shared" si="1"/>
        <v>19.1662</v>
      </c>
      <c r="H46" s="39">
        <f>IFERROR(VLOOKUP(Tabela22[[#This Row],[PRODUTO]],'CADASTRO PRODUTOS'!A:C,3,0)*Tabela22[[#This Row],[PESO DESPERDÍCIO (Kg)]],"")</f>
        <v>203.91580000000002</v>
      </c>
      <c r="I46" s="29" t="s">
        <v>11</v>
      </c>
    </row>
    <row r="47" spans="2:9" ht="22" customHeight="1" x14ac:dyDescent="0.2">
      <c r="B47" s="26">
        <v>45953</v>
      </c>
      <c r="C47" s="27" t="s">
        <v>40</v>
      </c>
      <c r="D47" s="12" t="s">
        <v>38</v>
      </c>
      <c r="E47" s="28">
        <f>IFERROR(VLOOKUP(C47,'CADASTRO PRODUTOS'!A:B,2,0),"")</f>
        <v>4.5199999999999996</v>
      </c>
      <c r="F47" s="29">
        <v>10.018000000000001</v>
      </c>
      <c r="G47" s="39">
        <f t="shared" si="1"/>
        <v>45.281359999999999</v>
      </c>
      <c r="H47" s="39">
        <f>IFERROR(VLOOKUP(Tabela22[[#This Row],[PRODUTO]],'CADASTRO PRODUTOS'!A:C,3,0)*Tabela22[[#This Row],[PESO DESPERDÍCIO (Kg)]],"")</f>
        <v>298.53640000000001</v>
      </c>
      <c r="I47" s="29" t="s">
        <v>11</v>
      </c>
    </row>
    <row r="48" spans="2:9" ht="22" customHeight="1" x14ac:dyDescent="0.2">
      <c r="B48" s="26">
        <v>45954</v>
      </c>
      <c r="C48" s="27" t="s">
        <v>16</v>
      </c>
      <c r="D48" s="12" t="s">
        <v>16</v>
      </c>
      <c r="E48" s="28">
        <f>IFERROR(VLOOKUP(C48,'CADASTRO PRODUTOS'!A:B,2,0),"")</f>
        <v>0</v>
      </c>
      <c r="F48" s="29">
        <v>2.6779999999999999</v>
      </c>
      <c r="G48" s="39">
        <f t="shared" si="1"/>
        <v>0</v>
      </c>
      <c r="H48" s="39">
        <f>IFERROR(VLOOKUP(Tabela22[[#This Row],[PRODUTO]],'CADASTRO PRODUTOS'!A:C,3,0)*Tabela22[[#This Row],[PESO DESPERDÍCIO (Kg)]],"")</f>
        <v>0</v>
      </c>
      <c r="I48" s="29" t="s">
        <v>31</v>
      </c>
    </row>
    <row r="49" spans="2:9" x14ac:dyDescent="0.2">
      <c r="B49" s="26">
        <v>45955</v>
      </c>
      <c r="C49" s="27" t="s">
        <v>26</v>
      </c>
      <c r="D49" s="27" t="s">
        <v>39</v>
      </c>
      <c r="E49" s="28">
        <f>IFERROR(VLOOKUP(C49,'CADASTRO PRODUTOS'!A:B,2,0),"")</f>
        <v>0</v>
      </c>
      <c r="F49" s="29">
        <v>1.51</v>
      </c>
      <c r="G49" s="46">
        <f>IFERROR(E49*F49,"")</f>
        <v>0</v>
      </c>
      <c r="H49" s="46">
        <f>IFERROR(VLOOKUP(Tabela22[[#This Row],[PRODUTO]],'CADASTRO PRODUTOS'!A:C,3,0)*Tabela22[[#This Row],[PESO DESPERDÍCIO (Kg)]],"")</f>
        <v>97.999000000000009</v>
      </c>
      <c r="I49" s="29" t="s">
        <v>11</v>
      </c>
    </row>
    <row r="50" spans="2:9" x14ac:dyDescent="0.2">
      <c r="B50" s="26">
        <v>45955</v>
      </c>
      <c r="C50" s="27" t="s">
        <v>33</v>
      </c>
      <c r="D50" s="27" t="s">
        <v>38</v>
      </c>
      <c r="E50" s="28">
        <f>IFERROR(VLOOKUP(C50,'CADASTRO PRODUTOS'!A:B,2,0),"")</f>
        <v>28.65</v>
      </c>
      <c r="F50" s="29">
        <v>0.85599999999999998</v>
      </c>
      <c r="G50" s="46">
        <f>IFERROR(E50*F50,"")</f>
        <v>24.5244</v>
      </c>
      <c r="H50" s="46">
        <f>IFERROR(VLOOKUP(Tabela22[[#This Row],[PRODUTO]],'CADASTRO PRODUTOS'!A:C,3,0)*Tabela22[[#This Row],[PESO DESPERDÍCIO (Kg)]],"")</f>
        <v>28.932799999999997</v>
      </c>
      <c r="I50" s="29" t="s">
        <v>11</v>
      </c>
    </row>
    <row r="51" spans="2:9" x14ac:dyDescent="0.2">
      <c r="B51" s="26">
        <v>45955</v>
      </c>
      <c r="C51" s="27" t="s">
        <v>7</v>
      </c>
      <c r="D51" s="27" t="s">
        <v>39</v>
      </c>
      <c r="E51" s="28">
        <f>IFERROR(VLOOKUP(C51,'CADASTRO PRODUTOS'!A:B,2,0),"")</f>
        <v>2.44</v>
      </c>
      <c r="F51" s="29">
        <v>1.1259999999999999</v>
      </c>
      <c r="G51" s="46">
        <f>IFERROR(E51*F51,"")</f>
        <v>2.7474399999999997</v>
      </c>
      <c r="H51" s="46">
        <f>IFERROR(VLOOKUP(Tabela22[[#This Row],[PRODUTO]],'CADASTRO PRODUTOS'!A:C,3,0)*Tabela22[[#This Row],[PESO DESPERDÍCIO (Kg)]],"")</f>
        <v>73.077399999999997</v>
      </c>
      <c r="I51" s="29" t="s">
        <v>11</v>
      </c>
    </row>
    <row r="52" spans="2:9" x14ac:dyDescent="0.2">
      <c r="B52" s="26">
        <v>45955</v>
      </c>
      <c r="C52" s="27" t="s">
        <v>22</v>
      </c>
      <c r="D52" s="27" t="s">
        <v>39</v>
      </c>
      <c r="E52" s="28">
        <f>IFERROR(VLOOKUP(C52,'CADASTRO PRODUTOS'!A:B,2,0),"")</f>
        <v>7.2</v>
      </c>
      <c r="F52" s="29">
        <v>2.68</v>
      </c>
      <c r="G52" s="46">
        <f>IFERROR(E52*F52,"")</f>
        <v>19.296000000000003</v>
      </c>
      <c r="H52" s="46">
        <f>IFERROR(VLOOKUP(Tabela22[[#This Row],[PRODUTO]],'CADASTRO PRODUTOS'!A:C,3,0)*Tabela22[[#This Row],[PESO DESPERDÍCIO (Kg)]],"")</f>
        <v>173.93200000000002</v>
      </c>
      <c r="I52" s="29" t="s">
        <v>11</v>
      </c>
    </row>
    <row r="53" spans="2:9" x14ac:dyDescent="0.2">
      <c r="B53" s="26">
        <v>45955</v>
      </c>
      <c r="C53" s="27" t="s">
        <v>16</v>
      </c>
      <c r="D53" s="27" t="s">
        <v>16</v>
      </c>
      <c r="E53" s="28">
        <f>IFERROR(VLOOKUP(C53,'CADASTRO PRODUTOS'!A:B,2,0),"")</f>
        <v>0</v>
      </c>
      <c r="F53" s="29">
        <v>2.1259999999999999</v>
      </c>
      <c r="G53" s="46">
        <f>IFERROR(E53*F53,"")</f>
        <v>0</v>
      </c>
      <c r="H53" s="46">
        <f>IFERROR(VLOOKUP(Tabela22[[#This Row],[PRODUTO]],'CADASTRO PRODUTOS'!A:C,3,0)*Tabela22[[#This Row],[PESO DESPERDÍCIO (Kg)]],"")</f>
        <v>0</v>
      </c>
      <c r="I53" s="29" t="s">
        <v>31</v>
      </c>
    </row>
    <row r="54" spans="2:9" x14ac:dyDescent="0.2">
      <c r="B54" s="26">
        <v>45957</v>
      </c>
      <c r="C54" s="27" t="s">
        <v>16</v>
      </c>
      <c r="D54" s="27" t="s">
        <v>16</v>
      </c>
      <c r="E54" s="28">
        <f>IFERROR(VLOOKUP(C54,'CADASTRO PRODUTOS'!A:B,2,0),"")</f>
        <v>0</v>
      </c>
      <c r="F54" s="29">
        <v>2.036</v>
      </c>
      <c r="G54" s="46">
        <f>IFERROR(E54*F54,"")</f>
        <v>0</v>
      </c>
      <c r="H54" s="46">
        <f>IFERROR(VLOOKUP(Tabela22[[#This Row],[PRODUTO]],'CADASTRO PRODUTOS'!A:C,3,0)*Tabela22[[#This Row],[PESO DESPERDÍCIO (Kg)]],"")</f>
        <v>0</v>
      </c>
      <c r="I54" s="29" t="s">
        <v>31</v>
      </c>
    </row>
    <row r="55" spans="2:9" x14ac:dyDescent="0.2">
      <c r="B55" s="26">
        <v>45957</v>
      </c>
      <c r="C55" s="27" t="s">
        <v>23</v>
      </c>
      <c r="D55" s="27" t="s">
        <v>39</v>
      </c>
      <c r="E55" s="28">
        <f>IFERROR(VLOOKUP(C55,'CADASTRO PRODUTOS'!A:B,2,0),"")</f>
        <v>14.95</v>
      </c>
      <c r="F55" s="29">
        <v>0.76</v>
      </c>
      <c r="G55" s="46">
        <f>IFERROR(E55*F55,"")</f>
        <v>11.362</v>
      </c>
      <c r="H55" s="46">
        <f>IFERROR(VLOOKUP(Tabela22[[#This Row],[PRODUTO]],'CADASTRO PRODUTOS'!A:C,3,0)*Tabela22[[#This Row],[PESO DESPERDÍCIO (Kg)]],"")</f>
        <v>49.324000000000005</v>
      </c>
      <c r="I55" s="29" t="s">
        <v>32</v>
      </c>
    </row>
    <row r="56" spans="2:9" x14ac:dyDescent="0.2">
      <c r="B56" s="26">
        <v>45958</v>
      </c>
      <c r="C56" s="27" t="s">
        <v>17</v>
      </c>
      <c r="D56" s="27" t="s">
        <v>38</v>
      </c>
      <c r="E56" s="28">
        <f>IFERROR(VLOOKUP(C56,'CADASTRO PRODUTOS'!A:B,2,0),"")</f>
        <v>14.7</v>
      </c>
      <c r="F56" s="29">
        <v>2.5619999999999998</v>
      </c>
      <c r="G56" s="46">
        <f>IFERROR(E56*F56,"")</f>
        <v>37.661399999999993</v>
      </c>
      <c r="H56" s="46">
        <f>IFERROR(VLOOKUP(Tabela22[[#This Row],[PRODUTO]],'CADASTRO PRODUTOS'!A:C,3,0)*Tabela22[[#This Row],[PESO DESPERDÍCIO (Kg)]],"")</f>
        <v>76.3476</v>
      </c>
      <c r="I56" s="29" t="s">
        <v>11</v>
      </c>
    </row>
    <row r="57" spans="2:9" x14ac:dyDescent="0.2">
      <c r="B57" s="26">
        <v>45958</v>
      </c>
      <c r="C57" s="27" t="s">
        <v>16</v>
      </c>
      <c r="D57" s="27" t="s">
        <v>16</v>
      </c>
      <c r="E57" s="28">
        <f>IFERROR(VLOOKUP(C57,'CADASTRO PRODUTOS'!A:B,2,0),"")</f>
        <v>0</v>
      </c>
      <c r="F57" s="29">
        <v>1.722</v>
      </c>
      <c r="G57" s="46">
        <f>IFERROR(E57*F57,"")</f>
        <v>0</v>
      </c>
      <c r="H57" s="46">
        <f>IFERROR(VLOOKUP(Tabela22[[#This Row],[PRODUTO]],'CADASTRO PRODUTOS'!A:C,3,0)*Tabela22[[#This Row],[PESO DESPERDÍCIO (Kg)]],"")</f>
        <v>0</v>
      </c>
      <c r="I57" s="29" t="s">
        <v>31</v>
      </c>
    </row>
    <row r="59" spans="2:9" x14ac:dyDescent="0.2">
      <c r="F59" s="2">
        <f>SUM(Tabela22[PESO DESPERDÍCIO (Kg)])</f>
        <v>91.992000000000019</v>
      </c>
    </row>
  </sheetData>
  <mergeCells count="1">
    <mergeCell ref="A1:I1"/>
  </mergeCells>
  <dataValidations count="2">
    <dataValidation type="list" allowBlank="1" showInputMessage="1" showErrorMessage="1" sqref="D11:D57" xr:uid="{DB0BBEA7-4046-D746-93AF-17D354BD2700}">
      <formula1>"Self service, La carte, Sopas,Sobras clientes"</formula1>
    </dataValidation>
    <dataValidation type="list" allowBlank="1" showInputMessage="1" showErrorMessage="1" sqref="I11:I57" xr:uid="{802DE1BE-55AD-9B49-BE0D-B587CB3C29E1}">
      <formula1>"Estragado, Produto errado, Sobras, Sem aproveitamento"</formula1>
    </dataValidation>
  </dataValidations>
  <pageMargins left="0.511811024" right="0.511811024" top="0.78740157499999996" bottom="0.78740157499999996" header="0.31496062000000002" footer="0.31496062000000002"/>
  <pageSetup paperSize="9" orientation="landscape" horizontalDpi="0" verticalDpi="0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025E9A5-2C3B-EE44-9BD5-B92AA4AE8CF2}">
          <x14:formula1>
            <xm:f>'CADASTRO PRODUTOS'!$A$5:$A$555</xm:f>
          </x14:formula1>
          <xm:sqref>C11:C57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CADASTRO PRODUTOS</vt:lpstr>
      <vt:lpstr>DESPERDÍCIO SETEMBRO</vt:lpstr>
      <vt:lpstr>DESPERDÍCIO OUTUBRO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Stephany Emmanuely</dc:creator>
  <cp:lastModifiedBy>Stephany Emmanuely</cp:lastModifiedBy>
  <dcterms:created xsi:type="dcterms:W3CDTF">2025-08-27T17:20:20Z</dcterms:created>
  <dcterms:modified xsi:type="dcterms:W3CDTF">2025-10-29T23:22:26Z</dcterms:modified>
</cp:coreProperties>
</file>